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STM" sheetId="1" r:id="rId1"/>
    <sheet name="LICENSE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<sst xmlns="http://schemas.openxmlformats.org/spreadsheetml/2006/main" count="84" uniqueCount="28">
  <si>
    <t>Extended Long Short Term Memory (xLSTM)</t>
  </si>
  <si>
    <t>Time</t>
  </si>
  <si>
    <t>t =</t>
  </si>
  <si>
    <t>↓</t>
  </si>
  <si>
    <t>⊙</t>
  </si>
  <si>
    <t>σ</t>
  </si>
  <si>
    <t>→</t>
  </si>
  <si>
    <t>〜</t>
  </si>
  <si>
    <t>+</t>
  </si>
  <si>
    <t>exp</t>
  </si>
  <si>
    <t>/</t>
  </si>
  <si>
    <t>MIT License</t>
  </si>
  <si>
    <t>Copyright (c) 2026 xyzln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</si>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</sst>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numFmts count="1">
    <numFmt numFmtId="164" formatCode="id:12"/>
  </numFmts>
  <fonts count="12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b/>
      <sz val="21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C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444444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3E0C9"/>
        <bgColor indexed="64"/>
      </patternFill>
    </fill>
    <fill>
      <patternFill patternType="solid">
        <fgColor rgb="FFD8E4EB"/>
        <bgColor indexed="64"/>
      </patternFill>
    </fill>
    <fill>
      <patternFill patternType="solid">
        <fgColor rgb="FFFFD8FF"/>
        <bgColor indexed="64"/>
      </patternFill>
    </fill>
    <fill>
      <patternFill patternType="solid">
        <fgColor rgb="FFFFFED6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1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4"/>
  <sheetViews>
    <sheetView tabSelected="1" workbookViewId="0"/>
  </sheetViews>
  <sheetFormatPr defaultRowHeight="15"/>
  <cols>
    <col min="1" max="34" width="5.5703125" customWidth="1"/>
  </cols>
  <sheetData>
    <row r="1" spans="1:35">
      <c r="A1" s="2" t="s">
        <v>0</v>
      </c>
      <c r="B1" s="1"/>
      <c r="C1" s="1"/>
      <c r="D1" s="1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</row>
    <row r="2" spans="1: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>
      <c r="A4" s="4"/>
      <c r="B4" s="5"/>
      <c r="C4" s="5"/>
      <c r="D4" s="1"/>
      <c r="E4" s="1"/>
      <c r="F4" s="1"/>
      <c r="G4" s="1"/>
      <c r="H4" s="1"/>
      <c r="I4" s="1"/>
      <c r="J4" s="1"/>
      <c r="K4" s="1"/>
      <c r="L4" s="6" t="s">
        <v>1</v>
      </c>
      <c r="M4" s="1"/>
      <c r="N4" s="7" t="s">
        <v>2</v>
      </c>
      <c r="O4" s="1"/>
      <c r="P4" s="1">
        <v>1</v>
      </c>
      <c r="Q4" s="1"/>
      <c r="R4" s="1"/>
      <c r="S4" s="1"/>
      <c r="T4" s="1"/>
      <c r="U4" s="1"/>
      <c r="V4" s="1"/>
      <c r="W4" s="1"/>
      <c r="X4" s="1"/>
      <c r="Y4" s="1"/>
      <c r="Z4" s="1">
        <v>2</v>
      </c>
      <c r="AA4" s="1"/>
      <c r="AB4" s="1"/>
      <c r="AC4" s="1"/>
      <c r="AD4" s="1"/>
      <c r="AE4" s="1"/>
      <c r="AF4" s="1"/>
      <c r="AG4" s="1"/>
      <c r="AH4" s="1"/>
      <c r="AI4" s="1"/>
    </row>
    <row r="5" spans="1:35">
      <c r="A5" s="4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8"/>
      <c r="P5" s="1"/>
      <c r="Q5" s="1"/>
      <c r="R5" s="1"/>
      <c r="S5" s="1"/>
      <c r="T5" s="1"/>
      <c r="U5" s="1"/>
      <c r="V5" s="1"/>
      <c r="W5" s="4"/>
      <c r="X5" s="4"/>
      <c r="Y5" s="8"/>
      <c r="Z5" s="1"/>
      <c r="AA5" s="1"/>
      <c r="AB5" s="1"/>
      <c r="AC5" s="1"/>
      <c r="AD5" s="1"/>
      <c r="AE5" s="1"/>
      <c r="AF5" s="1"/>
      <c r="AG5" s="4"/>
      <c r="AH5" s="4"/>
      <c r="AI5" s="1"/>
    </row>
    <row r="6" spans="1:35">
      <c r="A6" s="4"/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</v>
      </c>
      <c r="Q6" s="1"/>
      <c r="R6" s="1"/>
      <c r="S6" s="1"/>
      <c r="T6" s="1"/>
      <c r="U6" s="1"/>
      <c r="V6" s="1"/>
      <c r="W6" s="1"/>
      <c r="X6" s="1"/>
      <c r="Y6" s="1"/>
      <c r="Z6" s="1">
        <v>2</v>
      </c>
      <c r="AA6" s="1"/>
      <c r="AB6" s="1"/>
      <c r="AC6" s="1"/>
      <c r="AD6" s="1"/>
      <c r="AE6" s="1"/>
      <c r="AF6" s="1"/>
      <c r="AG6" s="1"/>
      <c r="AH6" s="1"/>
      <c r="AI6" s="1"/>
    </row>
    <row r="7" spans="1:35">
      <c r="A7" s="4"/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2</v>
      </c>
      <c r="Q7" s="1"/>
      <c r="R7" s="1"/>
      <c r="S7" s="1"/>
      <c r="T7" s="1"/>
      <c r="U7" s="1"/>
      <c r="V7" s="1"/>
      <c r="W7" s="1"/>
      <c r="X7" s="1"/>
      <c r="Y7" s="1"/>
      <c r="Z7" s="1">
        <v>-1</v>
      </c>
      <c r="AA7" s="1"/>
      <c r="AB7" s="1"/>
      <c r="AC7" s="1"/>
      <c r="AD7" s="1"/>
      <c r="AE7" s="1"/>
      <c r="AF7" s="1"/>
      <c r="AG7" s="1"/>
      <c r="AH7" s="1"/>
      <c r="AI7" s="1"/>
    </row>
    <row r="8" spans="1:35">
      <c r="A8" s="1"/>
      <c r="B8" s="1"/>
      <c r="C8" s="1"/>
      <c r="D8" s="1"/>
      <c r="E8" s="1"/>
      <c r="F8" s="1"/>
      <c r="G8" s="1"/>
      <c r="H8" s="1"/>
      <c r="I8" s="1"/>
      <c r="J8" s="1"/>
      <c r="K8" s="9"/>
      <c r="L8" s="1"/>
      <c r="M8" s="1"/>
      <c r="N8" s="1"/>
      <c r="O8" s="10"/>
      <c r="P8" s="1">
        <v>1</v>
      </c>
      <c r="Q8" s="1"/>
      <c r="R8" s="1"/>
      <c r="S8" s="1"/>
      <c r="T8" s="1"/>
      <c r="U8" s="1"/>
      <c r="V8" s="1"/>
      <c r="W8" s="1"/>
      <c r="X8" s="1"/>
      <c r="Y8" s="10"/>
      <c r="Z8" s="1">
        <v>1</v>
      </c>
      <c r="AA8" s="1"/>
      <c r="AB8" s="1"/>
      <c r="AC8" s="1"/>
      <c r="AD8" s="1"/>
      <c r="AE8" s="1"/>
      <c r="AF8" s="1"/>
      <c r="AG8" s="1"/>
      <c r="AH8" s="1"/>
      <c r="AI8" s="1"/>
    </row>
    <row r="9" spans="1: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5">
        <v>1</v>
      </c>
      <c r="Q9" s="1"/>
      <c r="R9" s="1"/>
      <c r="S9" s="1"/>
      <c r="T9" s="1"/>
      <c r="U9" s="1"/>
      <c r="V9" s="1"/>
      <c r="W9" s="1"/>
      <c r="X9" s="1"/>
      <c r="Y9" s="1"/>
      <c r="Z9" s="5">
        <v>1</v>
      </c>
      <c r="AA9" s="1"/>
      <c r="AB9" s="1"/>
      <c r="AC9" s="1"/>
      <c r="AD9" s="1"/>
      <c r="AE9" s="1"/>
      <c r="AF9" s="1"/>
      <c r="AG9" s="1"/>
      <c r="AH9" s="1"/>
      <c r="AI9" s="1"/>
    </row>
    <row r="10" spans="1: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3</v>
      </c>
      <c r="Q10" s="1"/>
      <c r="R10" s="1"/>
      <c r="S10" s="1"/>
      <c r="T10" s="1"/>
      <c r="U10" s="1"/>
      <c r="V10" s="1"/>
      <c r="W10" s="1"/>
      <c r="X10" s="1"/>
      <c r="Y10" s="1"/>
      <c r="Z10" s="1" t="s">
        <v>3</v>
      </c>
      <c r="AA10" s="1"/>
      <c r="AB10" s="1"/>
      <c r="AC10" s="1"/>
      <c r="AD10" s="1"/>
      <c r="AE10" s="1"/>
      <c r="AF10" s="1"/>
      <c r="AG10" s="1"/>
      <c r="AH10" s="1"/>
      <c r="AI10" s="1"/>
    </row>
    <row r="11" spans="1: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5"/>
      <c r="X12" s="1"/>
      <c r="Y12" s="1"/>
      <c r="Z12" s="1"/>
      <c r="AA12" s="1"/>
      <c r="AB12" s="1"/>
      <c r="AC12" s="1"/>
      <c r="AD12" s="1"/>
      <c r="AE12" s="1"/>
      <c r="AF12" s="1"/>
      <c r="AG12" s="5"/>
      <c r="AH12" s="1"/>
      <c r="AI12" s="1"/>
    </row>
    <row r="13" spans="1: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1">
        <v>0</v>
      </c>
      <c r="S13" s="11">
        <v>0</v>
      </c>
      <c r="T13" s="1"/>
      <c r="U13" s="1"/>
      <c r="V13" s="1"/>
      <c r="W13" s="11">
        <v>1</v>
      </c>
      <c r="X13" s="1"/>
      <c r="Y13" s="1"/>
      <c r="Z13" s="1"/>
      <c r="AA13" s="1"/>
      <c r="AB13" s="11" cm="1">
        <f t="array" ref="AB13">_xlfn.ANCHORARRAY(R37)</f>
        <v>0</v>
      </c>
      <c r="AC13" s="11">
        <v>-0.07619032692572326</v>
      </c>
      <c r="AD13" s="1"/>
      <c r="AE13" s="1"/>
      <c r="AF13" s="1"/>
      <c r="AG13" s="11" cm="1">
        <f t="array" ref="AG13">_xlfn.ANCHORARRAY(W37)</f>
        <v>0</v>
      </c>
      <c r="AH13" s="1"/>
      <c r="AI13" s="1"/>
    </row>
    <row r="14" spans="1: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1">
        <v>0</v>
      </c>
      <c r="S14" s="11">
        <v>0</v>
      </c>
      <c r="T14" s="1"/>
      <c r="U14" s="1"/>
      <c r="V14" s="1"/>
      <c r="W14" s="11">
        <v>1</v>
      </c>
      <c r="X14" s="1"/>
      <c r="Y14" s="1"/>
      <c r="Z14" s="1"/>
      <c r="AA14" s="1"/>
      <c r="AB14" s="11">
        <v>0.5202600950228888</v>
      </c>
      <c r="AC14" s="11">
        <v>-0.15238065385144653</v>
      </c>
      <c r="AD14" s="1"/>
      <c r="AE14" s="1"/>
      <c r="AF14" s="1"/>
      <c r="AG14" s="11">
        <v>-0.03317773182932898</v>
      </c>
      <c r="AH14" s="1"/>
      <c r="AI14" s="1"/>
    </row>
    <row r="15" spans="1: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2" t="s">
        <v>4</v>
      </c>
      <c r="S15" s="12"/>
      <c r="T15" s="12"/>
      <c r="U15" s="12"/>
      <c r="V15" s="1"/>
      <c r="W15" s="12" t="s">
        <v>4</v>
      </c>
      <c r="X15" s="1"/>
      <c r="Y15" s="1"/>
      <c r="Z15" s="1"/>
      <c r="AA15" s="1"/>
      <c r="AB15" s="12" t="s">
        <v>4</v>
      </c>
      <c r="AC15" s="12"/>
      <c r="AD15" s="12"/>
      <c r="AE15" s="12"/>
      <c r="AF15" s="1"/>
      <c r="AG15" s="12" t="s">
        <v>4</v>
      </c>
      <c r="AH15" s="1"/>
      <c r="AI15" s="1"/>
    </row>
    <row r="16" spans="1:35">
      <c r="A16" s="1"/>
      <c r="B16" s="1"/>
      <c r="C16" s="1"/>
      <c r="D16" s="1"/>
      <c r="E16" s="1"/>
      <c r="F16" s="1"/>
      <c r="G16" s="1"/>
      <c r="H16" s="13"/>
      <c r="I16" s="1"/>
      <c r="J16" s="1"/>
      <c r="K16" s="1"/>
      <c r="L16" s="1"/>
      <c r="M16" s="13"/>
      <c r="N16" s="1"/>
      <c r="O16" s="1"/>
      <c r="P16" s="1"/>
      <c r="Q16" s="1" t="s">
        <v>5</v>
      </c>
      <c r="R16" s="1"/>
      <c r="S16" s="1"/>
      <c r="T16" s="1"/>
      <c r="U16" s="1"/>
      <c r="V16" s="1"/>
      <c r="W16" s="5"/>
      <c r="X16" s="1"/>
      <c r="Y16" s="1"/>
      <c r="Z16" s="1"/>
      <c r="AA16" s="1" t="s">
        <v>5</v>
      </c>
      <c r="AB16" s="1"/>
      <c r="AC16" s="1"/>
      <c r="AD16" s="1"/>
      <c r="AE16" s="1"/>
      <c r="AF16" s="1"/>
      <c r="AG16" s="5"/>
      <c r="AH16" s="1"/>
      <c r="AI16" s="1"/>
    </row>
    <row r="17" spans="1:35">
      <c r="A17" s="1"/>
      <c r="B17" s="1"/>
      <c r="C17" s="1"/>
      <c r="D17" s="1"/>
      <c r="E17" s="1"/>
      <c r="F17" s="1"/>
      <c r="G17" s="1"/>
      <c r="H17" s="1"/>
      <c r="I17" s="1"/>
      <c r="J17" s="5">
        <v>0</v>
      </c>
      <c r="K17" s="5">
        <v>-1</v>
      </c>
      <c r="L17" s="5">
        <v>0</v>
      </c>
      <c r="M17" s="5">
        <v>0</v>
      </c>
      <c r="N17" s="1" t="s">
        <v>6</v>
      </c>
      <c r="O17" s="1"/>
      <c r="P17" s="5">
        <f>MMULT($J17:$M17,P$6:P$9)</f>
        <v>0</v>
      </c>
      <c r="Q17" s="1" t="s">
        <v>7</v>
      </c>
      <c r="R17" s="14" cm="1">
        <f t="array" ref="R17">1/(1+EXP(-_xlfn.ANCHORARRAY(P17)))</f>
        <v>0</v>
      </c>
      <c r="S17" s="1"/>
      <c r="T17" s="1"/>
      <c r="U17" s="1"/>
      <c r="V17" s="1"/>
      <c r="W17" s="14">
        <f>R17</f>
        <v>0</v>
      </c>
      <c r="X17" s="1"/>
      <c r="Y17" s="1"/>
      <c r="Z17" s="5">
        <f>MMULT($J17:$M17,Z$6:Z$9)</f>
        <v>0</v>
      </c>
      <c r="AA17" s="1" t="s">
        <v>7</v>
      </c>
      <c r="AB17" s="14" cm="1">
        <f t="array" ref="AB17">1/(1+EXP(-_xlfn.ANCHORARRAY(Z17)))</f>
        <v>0</v>
      </c>
      <c r="AC17" s="1"/>
      <c r="AD17" s="1"/>
      <c r="AE17" s="1"/>
      <c r="AF17" s="1"/>
      <c r="AG17" s="14">
        <f>AB17</f>
        <v>0</v>
      </c>
      <c r="AH17" s="1"/>
      <c r="AI17" s="1"/>
    </row>
    <row r="18" spans="1: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5" t="s">
        <v>8</v>
      </c>
      <c r="S19" s="15"/>
      <c r="T19" s="15"/>
      <c r="U19" s="15"/>
      <c r="V19" s="1"/>
      <c r="W19" s="15" t="s">
        <v>8</v>
      </c>
      <c r="X19" s="1"/>
      <c r="Y19" s="1"/>
      <c r="Z19" s="1"/>
      <c r="AA19" s="1"/>
      <c r="AB19" s="15" t="s">
        <v>8</v>
      </c>
      <c r="AC19" s="15"/>
      <c r="AD19" s="15"/>
      <c r="AE19" s="15"/>
      <c r="AF19" s="1"/>
      <c r="AG19" s="15" t="s">
        <v>8</v>
      </c>
      <c r="AH19" s="1"/>
      <c r="AI19" s="1"/>
    </row>
    <row r="20" spans="1:35">
      <c r="A20" s="1"/>
      <c r="B20" s="1"/>
      <c r="C20" s="1"/>
      <c r="D20" s="1"/>
      <c r="E20" s="1"/>
      <c r="F20" s="1"/>
      <c r="G20" s="1"/>
      <c r="H20" s="1"/>
      <c r="I20" s="1"/>
      <c r="J20" s="1"/>
      <c r="K20" s="16"/>
      <c r="L20" s="17"/>
      <c r="M20" s="1"/>
      <c r="N20" s="1"/>
      <c r="O20" s="1"/>
      <c r="P20" s="1"/>
      <c r="Q20" s="1"/>
      <c r="R20" s="15"/>
      <c r="S20" s="15"/>
      <c r="T20" s="15"/>
      <c r="U20" s="15"/>
      <c r="V20" s="1"/>
      <c r="W20" s="1"/>
      <c r="X20" s="1"/>
      <c r="Y20" s="1"/>
      <c r="Z20" s="1"/>
      <c r="AA20" s="1"/>
      <c r="AB20" s="15"/>
      <c r="AC20" s="15"/>
      <c r="AD20" s="15"/>
      <c r="AE20" s="15"/>
      <c r="AF20" s="1"/>
      <c r="AG20" s="1"/>
      <c r="AH20" s="1"/>
      <c r="AI20" s="1"/>
    </row>
    <row r="21" spans="1: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1"/>
      <c r="B22" s="1"/>
      <c r="C22" s="1"/>
      <c r="D22" s="1"/>
      <c r="E22" s="1"/>
      <c r="F22" s="1"/>
      <c r="G22" s="1"/>
      <c r="H22" s="1"/>
      <c r="I22" s="1"/>
      <c r="J22" s="5">
        <v>1</v>
      </c>
      <c r="K22" s="5">
        <v>0</v>
      </c>
      <c r="L22" s="5">
        <v>1</v>
      </c>
      <c r="M22" s="5">
        <v>-1</v>
      </c>
      <c r="N22" s="1" t="s">
        <v>6</v>
      </c>
      <c r="O22" s="1"/>
      <c r="P22" s="5">
        <f>MMULT($J22:$M23,P$6:P$9)</f>
        <v>0</v>
      </c>
      <c r="Q22" s="1"/>
      <c r="R22" s="1"/>
      <c r="S22" s="1"/>
      <c r="T22" s="1"/>
      <c r="U22" s="5" cm="1">
        <f t="array" ref="U22">_xlfn.ANCHORARRAY(P22)</f>
        <v>0</v>
      </c>
      <c r="V22" s="1"/>
      <c r="W22" s="1"/>
      <c r="X22" s="1"/>
      <c r="Y22" s="1"/>
      <c r="Z22" s="5">
        <f>MMULT($J22:$M23,Z$6:Z$9)</f>
        <v>0</v>
      </c>
      <c r="AA22" s="1"/>
      <c r="AB22" s="1"/>
      <c r="AC22" s="1"/>
      <c r="AD22" s="1"/>
      <c r="AE22" s="5" cm="1">
        <f t="array" ref="AE22">_xlfn.ANCHORARRAY(Z22)</f>
        <v>0</v>
      </c>
      <c r="AF22" s="1"/>
      <c r="AG22" s="1"/>
      <c r="AH22" s="1"/>
      <c r="AI22" s="1"/>
    </row>
    <row r="23" spans="1:35">
      <c r="A23" s="1"/>
      <c r="B23" s="1"/>
      <c r="C23" s="1"/>
      <c r="D23" s="1"/>
      <c r="E23" s="1"/>
      <c r="F23" s="1"/>
      <c r="G23" s="1"/>
      <c r="H23" s="1"/>
      <c r="I23" s="1"/>
      <c r="J23" s="5">
        <v>0</v>
      </c>
      <c r="K23" s="5">
        <v>1</v>
      </c>
      <c r="L23" s="5">
        <v>1</v>
      </c>
      <c r="M23" s="5">
        <v>-1</v>
      </c>
      <c r="N23" s="1"/>
      <c r="O23" s="1"/>
      <c r="P23" s="5">
        <v>2</v>
      </c>
      <c r="Q23" s="1"/>
      <c r="R23" s="1"/>
      <c r="S23" s="1"/>
      <c r="T23" s="1"/>
      <c r="U23" s="5">
        <v>2</v>
      </c>
      <c r="V23" s="1"/>
      <c r="W23" s="1"/>
      <c r="X23" s="1"/>
      <c r="Y23" s="1"/>
      <c r="Z23" s="5">
        <v>-1</v>
      </c>
      <c r="AA23" s="1"/>
      <c r="AB23" s="1"/>
      <c r="AC23" s="1"/>
      <c r="AD23" s="1"/>
      <c r="AE23" s="5">
        <v>-1</v>
      </c>
      <c r="AF23" s="1"/>
      <c r="AG23" s="1"/>
      <c r="AH23" s="1"/>
      <c r="AI23" s="1"/>
    </row>
    <row r="24" spans="1: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 t="s">
        <v>3</v>
      </c>
      <c r="V24" s="1"/>
      <c r="W24" s="1"/>
      <c r="X24" s="1"/>
      <c r="Y24" s="1"/>
      <c r="Z24" s="1"/>
      <c r="AA24" s="1"/>
      <c r="AB24" s="1"/>
      <c r="AC24" s="1"/>
      <c r="AD24" s="1"/>
      <c r="AE24" s="1" t="s">
        <v>3</v>
      </c>
      <c r="AF24" s="1"/>
      <c r="AG24" s="1"/>
      <c r="AH24" s="1"/>
      <c r="AI24" s="1"/>
    </row>
    <row r="25" spans="1:35">
      <c r="A25" s="1"/>
      <c r="B25" s="1"/>
      <c r="C25" s="1"/>
      <c r="D25" s="1"/>
      <c r="E25" s="1"/>
      <c r="F25" s="5"/>
      <c r="G25" s="5"/>
      <c r="H25" s="1"/>
      <c r="I25" s="1"/>
      <c r="J25" s="1"/>
      <c r="K25" s="1"/>
      <c r="L25" s="1"/>
      <c r="M25" s="13"/>
      <c r="N25" s="1"/>
      <c r="O25" s="1"/>
      <c r="P25" s="1"/>
      <c r="Q25" s="1"/>
      <c r="R25" s="1"/>
      <c r="S25" s="1"/>
      <c r="T25" s="1"/>
      <c r="U25" s="1"/>
      <c r="V25" s="1"/>
      <c r="W25" s="5"/>
      <c r="X25" s="1"/>
      <c r="Y25" s="1"/>
      <c r="Z25" s="1"/>
      <c r="AA25" s="1"/>
      <c r="AB25" s="1"/>
      <c r="AC25" s="1"/>
      <c r="AD25" s="1"/>
      <c r="AE25" s="1"/>
      <c r="AF25" s="1"/>
      <c r="AG25" s="5"/>
      <c r="AH25" s="1"/>
      <c r="AI25" s="1"/>
    </row>
    <row r="26" spans="1:35">
      <c r="A26" s="1"/>
      <c r="B26" s="1"/>
      <c r="C26" s="1"/>
      <c r="D26" s="1"/>
      <c r="E26" s="1"/>
      <c r="F26" s="5">
        <v>0</v>
      </c>
      <c r="G26" s="5">
        <v>1</v>
      </c>
      <c r="H26" s="5">
        <v>0</v>
      </c>
      <c r="I26" s="1"/>
      <c r="J26" s="5">
        <f>F26:H27/SQRT(2)</f>
        <v>0</v>
      </c>
      <c r="K26" s="5">
        <v>0.7071067811865475</v>
      </c>
      <c r="L26" s="5">
        <v>0</v>
      </c>
      <c r="M26" s="5">
        <v>0</v>
      </c>
      <c r="N26" s="1" t="s">
        <v>6</v>
      </c>
      <c r="O26" s="1"/>
      <c r="P26" s="5">
        <f>MMULT($J26:$M27,P$6:P$9)</f>
        <v>0</v>
      </c>
      <c r="Q26" s="1"/>
      <c r="R26" s="1"/>
      <c r="S26" s="1"/>
      <c r="T26" s="1"/>
      <c r="U26" s="1"/>
      <c r="V26" s="1"/>
      <c r="W26" s="5" cm="1">
        <f t="array" ref="W26">_xlfn.ANCHORARRAY(P26)</f>
        <v>0</v>
      </c>
      <c r="X26" s="1"/>
      <c r="Y26" s="1"/>
      <c r="Z26" s="5">
        <f>MMULT($J26:$M27,Z$6:Z$9)</f>
        <v>0</v>
      </c>
      <c r="AA26" s="1"/>
      <c r="AB26" s="1"/>
      <c r="AC26" s="1"/>
      <c r="AD26" s="1"/>
      <c r="AE26" s="1"/>
      <c r="AF26" s="1"/>
      <c r="AG26" s="5" cm="1">
        <f t="array" ref="AG26">_xlfn.ANCHORARRAY(Z26)</f>
        <v>0</v>
      </c>
      <c r="AH26" s="1"/>
      <c r="AI26" s="1"/>
    </row>
    <row r="27" spans="1:35">
      <c r="A27" s="1"/>
      <c r="B27" s="1"/>
      <c r="C27" s="1"/>
      <c r="D27" s="1"/>
      <c r="E27" s="1"/>
      <c r="F27" s="5">
        <v>-1</v>
      </c>
      <c r="G27" s="5">
        <v>0</v>
      </c>
      <c r="H27" s="5">
        <v>-1</v>
      </c>
      <c r="I27" s="1"/>
      <c r="J27" s="5">
        <v>-0.7071067811865475</v>
      </c>
      <c r="K27" s="5">
        <v>0</v>
      </c>
      <c r="L27" s="5">
        <v>-0.7071067811865475</v>
      </c>
      <c r="M27" s="5">
        <v>1</v>
      </c>
      <c r="N27" s="1" t="s">
        <v>6</v>
      </c>
      <c r="O27" s="1"/>
      <c r="P27" s="5">
        <v>-0.4142135623730949</v>
      </c>
      <c r="Q27" s="1"/>
      <c r="R27" s="5" cm="1">
        <f t="array" ref="R27">TRANSPOSE(_xlfn.ANCHORARRAY(P26))</f>
        <v>0</v>
      </c>
      <c r="S27" s="5">
        <v>-0.4142135623730949</v>
      </c>
      <c r="T27" s="1"/>
      <c r="U27" s="1"/>
      <c r="V27" s="1"/>
      <c r="W27" s="5">
        <v>-0.4142135623730949</v>
      </c>
      <c r="X27" s="1"/>
      <c r="Y27" s="1"/>
      <c r="Z27" s="5">
        <v>-1.1213203435596424</v>
      </c>
      <c r="AA27" s="1"/>
      <c r="AB27" s="5" cm="1">
        <f t="array" ref="AB27">TRANSPOSE(_xlfn.ANCHORARRAY(Z26))</f>
        <v>0</v>
      </c>
      <c r="AC27" s="5">
        <v>-1.1213203435596424</v>
      </c>
      <c r="AD27" s="1"/>
      <c r="AE27" s="1"/>
      <c r="AF27" s="1"/>
      <c r="AG27" s="5">
        <v>-1.1213203435596424</v>
      </c>
      <c r="AH27" s="1"/>
      <c r="AI27" s="1"/>
    </row>
    <row r="28" spans="1: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3</v>
      </c>
      <c r="S28" s="1" t="s">
        <v>3</v>
      </c>
      <c r="T28" s="1"/>
      <c r="U28" s="1"/>
      <c r="V28" s="1"/>
      <c r="W28" s="1"/>
      <c r="X28" s="1"/>
      <c r="Y28" s="1"/>
      <c r="Z28" s="1"/>
      <c r="AA28" s="1"/>
      <c r="AB28" s="1" t="s">
        <v>3</v>
      </c>
      <c r="AC28" s="1" t="s">
        <v>3</v>
      </c>
      <c r="AD28" s="1"/>
      <c r="AE28" s="1"/>
      <c r="AF28" s="1"/>
      <c r="AG28" s="1"/>
      <c r="AH28" s="1"/>
      <c r="AI28" s="1"/>
    </row>
    <row r="29" spans="1:35">
      <c r="A29" s="1"/>
      <c r="B29" s="1"/>
      <c r="C29" s="1"/>
      <c r="D29" s="1"/>
      <c r="E29" s="1"/>
      <c r="F29" s="1"/>
      <c r="G29" s="1"/>
      <c r="H29" s="13"/>
      <c r="I29" s="1"/>
      <c r="J29" s="1"/>
      <c r="K29" s="1"/>
      <c r="L29" s="1"/>
      <c r="M29" s="1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1"/>
      <c r="B30" s="1"/>
      <c r="C30" s="1"/>
      <c r="D30" s="1"/>
      <c r="E30" s="1"/>
      <c r="F30" s="1"/>
      <c r="G30" s="1"/>
      <c r="H30" s="1"/>
      <c r="I30" s="1"/>
      <c r="J30" s="5">
        <v>1</v>
      </c>
      <c r="K30" s="5">
        <v>0</v>
      </c>
      <c r="L30" s="5">
        <v>0.5</v>
      </c>
      <c r="M30" s="5">
        <v>-1</v>
      </c>
      <c r="N30" s="1" t="s">
        <v>6</v>
      </c>
      <c r="O30" s="1"/>
      <c r="P30" s="5">
        <f>MMULT($J30:$M31,P$6:P$9)</f>
        <v>0</v>
      </c>
      <c r="Q30" s="1" t="s">
        <v>6</v>
      </c>
      <c r="R30" s="5" cm="1">
        <f t="array" ref="R30">MMULT(_xlfn.ANCHORARRAY(P30),_xlfn.ANCHORARRAY(R27))</f>
        <v>0</v>
      </c>
      <c r="S30" s="5">
        <v>-0.20710678118654746</v>
      </c>
      <c r="T30" s="1"/>
      <c r="U30" s="1"/>
      <c r="V30" s="1"/>
      <c r="W30" s="1"/>
      <c r="X30" s="1"/>
      <c r="Y30" s="1"/>
      <c r="Z30" s="5">
        <f>MMULT($J30:$M31,Z$6:Z$9)</f>
        <v>0</v>
      </c>
      <c r="AA30" s="1" t="s">
        <v>6</v>
      </c>
      <c r="AB30" s="5" cm="1">
        <f t="array" ref="AB30">MMULT(_xlfn.ANCHORARRAY(Z30),_xlfn.ANCHORARRAY(AB27))</f>
        <v>0</v>
      </c>
      <c r="AC30" s="5">
        <v>-1.6819805153394636</v>
      </c>
      <c r="AD30" s="1"/>
      <c r="AE30" s="1"/>
      <c r="AF30" s="1"/>
      <c r="AG30" s="1"/>
      <c r="AH30" s="1"/>
      <c r="AI30" s="1"/>
    </row>
    <row r="31" spans="1:35">
      <c r="A31" s="1"/>
      <c r="B31" s="1"/>
      <c r="C31" s="1"/>
      <c r="D31" s="1"/>
      <c r="E31" s="1"/>
      <c r="F31" s="1"/>
      <c r="G31" s="1"/>
      <c r="H31" s="1"/>
      <c r="I31" s="1"/>
      <c r="J31" s="5">
        <v>-1</v>
      </c>
      <c r="K31" s="5">
        <v>1</v>
      </c>
      <c r="L31" s="5">
        <v>2</v>
      </c>
      <c r="M31" s="5">
        <v>-2</v>
      </c>
      <c r="N31" s="1"/>
      <c r="O31" s="1"/>
      <c r="P31" s="5">
        <v>1</v>
      </c>
      <c r="Q31" s="1" t="s">
        <v>6</v>
      </c>
      <c r="R31" s="5">
        <v>1.414213562373095</v>
      </c>
      <c r="S31" s="5">
        <v>-0.4142135623730949</v>
      </c>
      <c r="T31" s="1"/>
      <c r="U31" s="1"/>
      <c r="V31" s="1"/>
      <c r="W31" s="1"/>
      <c r="X31" s="1"/>
      <c r="Y31" s="1"/>
      <c r="Z31" s="5">
        <v>-3</v>
      </c>
      <c r="AA31" s="1" t="s">
        <v>6</v>
      </c>
      <c r="AB31" s="5">
        <v>2.1213203435596424</v>
      </c>
      <c r="AC31" s="5">
        <v>3.363961030678927</v>
      </c>
      <c r="AD31" s="1"/>
      <c r="AE31" s="1"/>
      <c r="AF31" s="1"/>
      <c r="AG31" s="1"/>
      <c r="AH31" s="1"/>
      <c r="AI31" s="1"/>
    </row>
    <row r="32" spans="1: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2" t="s">
        <v>4</v>
      </c>
      <c r="S32" s="1"/>
      <c r="T32" s="1"/>
      <c r="U32" s="1"/>
      <c r="V32" s="1"/>
      <c r="W32" s="12" t="s">
        <v>4</v>
      </c>
      <c r="X32" s="1"/>
      <c r="Y32" s="1"/>
      <c r="Z32" s="1"/>
      <c r="AA32" s="1"/>
      <c r="AB32" s="12" t="s">
        <v>4</v>
      </c>
      <c r="AC32" s="1"/>
      <c r="AD32" s="1"/>
      <c r="AE32" s="1"/>
      <c r="AF32" s="1"/>
      <c r="AG32" s="12" t="s">
        <v>4</v>
      </c>
      <c r="AH32" s="1"/>
      <c r="AI32" s="1"/>
    </row>
    <row r="33" spans="1: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3"/>
      <c r="N33" s="1"/>
      <c r="O33" s="1"/>
      <c r="P33" s="1"/>
      <c r="Q33" s="18" t="s">
        <v>9</v>
      </c>
      <c r="R33" s="5"/>
      <c r="S33" s="5"/>
      <c r="T33" s="5"/>
      <c r="U33" s="1"/>
      <c r="V33" s="1"/>
      <c r="W33" s="5"/>
      <c r="X33" s="1"/>
      <c r="Y33" s="1"/>
      <c r="Z33" s="1"/>
      <c r="AA33" s="18" t="s">
        <v>9</v>
      </c>
      <c r="AB33" s="5"/>
      <c r="AC33" s="5"/>
      <c r="AD33" s="5"/>
      <c r="AE33" s="1"/>
      <c r="AF33" s="1"/>
      <c r="AG33" s="5"/>
      <c r="AH33" s="1"/>
      <c r="AI33" s="1"/>
    </row>
    <row r="34" spans="1:35">
      <c r="A34" s="1"/>
      <c r="B34" s="1"/>
      <c r="C34" s="1"/>
      <c r="D34" s="1"/>
      <c r="E34" s="1"/>
      <c r="F34" s="1"/>
      <c r="G34" s="1"/>
      <c r="H34" s="1"/>
      <c r="I34" s="1"/>
      <c r="J34" s="5">
        <v>1</v>
      </c>
      <c r="K34" s="5">
        <v>-1</v>
      </c>
      <c r="L34" s="5">
        <v>1</v>
      </c>
      <c r="M34" s="5">
        <v>-1</v>
      </c>
      <c r="N34" s="1" t="s">
        <v>6</v>
      </c>
      <c r="O34" s="1"/>
      <c r="P34" s="5">
        <f>MMULT($J34:$M34,P$6:P$9)</f>
        <v>0</v>
      </c>
      <c r="Q34" s="1" t="s">
        <v>7</v>
      </c>
      <c r="R34" s="14">
        <f>EXP(P34)</f>
        <v>0</v>
      </c>
      <c r="S34" s="5"/>
      <c r="T34" s="1"/>
      <c r="U34" s="1"/>
      <c r="V34" s="1"/>
      <c r="W34" s="14" cm="1">
        <f t="array" ref="W34">_xlfn.ANCHORARRAY(R34)</f>
        <v>0</v>
      </c>
      <c r="X34" s="1"/>
      <c r="Y34" s="1"/>
      <c r="Z34" s="5">
        <f>MMULT($J34:$M34,Z$6:Z$9)</f>
        <v>0</v>
      </c>
      <c r="AA34" s="1" t="s">
        <v>7</v>
      </c>
      <c r="AB34" s="14">
        <f>EXP(Z34)</f>
        <v>0</v>
      </c>
      <c r="AC34" s="5"/>
      <c r="AD34" s="1"/>
      <c r="AE34" s="1"/>
      <c r="AF34" s="1"/>
      <c r="AG34" s="14" cm="1">
        <f t="array" ref="AG34">_xlfn.ANCHORARRAY(AB34)</f>
        <v>0</v>
      </c>
      <c r="AH34" s="1"/>
      <c r="AI34" s="1"/>
    </row>
    <row r="35" spans="1: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 t="s">
        <v>3</v>
      </c>
      <c r="S35" s="1"/>
      <c r="T35" s="1"/>
      <c r="U35" s="1"/>
      <c r="V35" s="1"/>
      <c r="W35" s="1" t="s">
        <v>3</v>
      </c>
      <c r="X35" s="1"/>
      <c r="Y35" s="1"/>
      <c r="Z35" s="1"/>
      <c r="AA35" s="1"/>
      <c r="AB35" s="1" t="s">
        <v>3</v>
      </c>
      <c r="AC35" s="1"/>
      <c r="AD35" s="1"/>
      <c r="AE35" s="1"/>
      <c r="AF35" s="1"/>
      <c r="AG35" s="1" t="s">
        <v>3</v>
      </c>
      <c r="AH35" s="1"/>
      <c r="AI35" s="1"/>
    </row>
    <row r="36" spans="1: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1" cm="1">
        <f t="array" ref="R37">R13:S14*R17+_xlfn.ANCHORARRAY(R30)*R34</f>
        <v>0</v>
      </c>
      <c r="S37" s="11">
        <v>-0.07619032692572326</v>
      </c>
      <c r="T37" s="1" t="s">
        <v>6</v>
      </c>
      <c r="U37" s="1" cm="1">
        <f t="array" ref="U37">MMULT(_xlfn.ANCHORARRAY(R37),U22:U23)</f>
        <v>0</v>
      </c>
      <c r="V37" s="1"/>
      <c r="W37" s="11" cm="1">
        <f t="array" ref="W37">W13:W14*_xlfn.ANCHORARRAY(W17)+_xlfn.ANCHORARRAY(W26)*_xlfn.ANCHORARRAY(W34)</f>
        <v>0</v>
      </c>
      <c r="X37" s="1"/>
      <c r="Y37" s="1"/>
      <c r="Z37" s="1"/>
      <c r="AA37" s="1"/>
      <c r="AB37" s="11" cm="1">
        <f t="array" ref="AB37">AB13:AC14*AB17+_xlfn.ANCHORARRAY(AB30)*AB34</f>
        <v>0</v>
      </c>
      <c r="AC37" s="11">
        <v>-33.83918133704069</v>
      </c>
      <c r="AD37" s="1" t="s">
        <v>6</v>
      </c>
      <c r="AE37" s="1" cm="1">
        <f t="array" ref="AE37">MMULT(_xlfn.ANCHORARRAY(AB37),AE22:AE23)</f>
        <v>0</v>
      </c>
      <c r="AF37" s="1"/>
      <c r="AG37" s="11" cm="1">
        <f t="array" ref="AG37">AG13:AG14*_xlfn.ANCHORARRAY(AG17)+_xlfn.ANCHORARRAY(AG26)*_xlfn.ANCHORARRAY(AG34)</f>
        <v>0</v>
      </c>
      <c r="AH37" s="1"/>
      <c r="AI37" s="1"/>
    </row>
    <row r="38" spans="1:35">
      <c r="A38" s="1"/>
      <c r="B38" s="1"/>
      <c r="C38" s="1"/>
      <c r="D38" s="1"/>
      <c r="E38" s="1"/>
      <c r="F38" s="1"/>
      <c r="G38" s="1"/>
      <c r="H38" s="1"/>
      <c r="I38" s="1"/>
      <c r="J38" s="1"/>
      <c r="K38" s="16"/>
      <c r="L38" s="17"/>
      <c r="M38" s="1"/>
      <c r="N38" s="1"/>
      <c r="O38" s="1"/>
      <c r="P38" s="1"/>
      <c r="Q38" s="1"/>
      <c r="R38" s="11">
        <v>0.5202600950228888</v>
      </c>
      <c r="S38" s="11">
        <v>-0.15238065385144653</v>
      </c>
      <c r="T38" s="1" t="s">
        <v>6</v>
      </c>
      <c r="U38" s="1">
        <v>0.21549878731999578</v>
      </c>
      <c r="V38" s="4"/>
      <c r="W38" s="11">
        <v>-0.03317773182932898</v>
      </c>
      <c r="X38" s="1"/>
      <c r="Y38" s="1"/>
      <c r="Z38" s="1"/>
      <c r="AA38" s="1"/>
      <c r="AB38" s="11">
        <v>42.988198692061694</v>
      </c>
      <c r="AC38" s="11">
        <v>67.4555643056507</v>
      </c>
      <c r="AD38" s="1" t="s">
        <v>6</v>
      </c>
      <c r="AE38" s="1">
        <v>18.52083307847269</v>
      </c>
      <c r="AF38" s="4"/>
      <c r="AG38" s="11">
        <v>-22.546576028761994</v>
      </c>
      <c r="AH38" s="1"/>
      <c r="AI38" s="1"/>
    </row>
    <row r="39" spans="1: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5" t="s">
        <v>10</v>
      </c>
      <c r="V39" s="5"/>
      <c r="W39" s="5"/>
      <c r="X39" s="5"/>
      <c r="Y39" s="1"/>
      <c r="Z39" s="1"/>
      <c r="AA39" s="1"/>
      <c r="AB39" s="1"/>
      <c r="AC39" s="1"/>
      <c r="AD39" s="1"/>
      <c r="AE39" s="5" t="s">
        <v>10</v>
      </c>
      <c r="AF39" s="5"/>
      <c r="AG39" s="5"/>
      <c r="AH39" s="5"/>
      <c r="AI39" s="1"/>
    </row>
    <row r="40" spans="1: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5" cm="1">
        <f t="array" ref="U40">MAX(ABS(MMULT(_xlfn.ANCHORARRAY(W37),TRANSPOSE(W34))),1)</f>
        <v>0</v>
      </c>
      <c r="V40" s="5"/>
      <c r="W40" s="5"/>
      <c r="X40" s="5"/>
      <c r="Y40" s="1"/>
      <c r="Z40" s="1"/>
      <c r="AA40" s="1"/>
      <c r="AB40" s="1"/>
      <c r="AC40" s="1"/>
      <c r="AD40" s="1"/>
      <c r="AE40" s="5" cm="1">
        <f t="array" ref="AE40">MAX(ABS(MMULT(_xlfn.ANCHORARRAY(AG37),TRANSPOSE(AG34))),1)</f>
        <v>0</v>
      </c>
      <c r="AF40" s="5"/>
      <c r="AG40" s="5"/>
      <c r="AH40" s="5"/>
      <c r="AI40" s="1"/>
    </row>
    <row r="41" spans="1: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 t="s">
        <v>3</v>
      </c>
      <c r="V41" s="5"/>
      <c r="W41" s="1"/>
      <c r="X41" s="5"/>
      <c r="Y41" s="1"/>
      <c r="Z41" s="1"/>
      <c r="AA41" s="1"/>
      <c r="AB41" s="1"/>
      <c r="AC41" s="1"/>
      <c r="AD41" s="1"/>
      <c r="AE41" s="1" t="s">
        <v>3</v>
      </c>
      <c r="AF41" s="5"/>
      <c r="AG41" s="1"/>
      <c r="AH41" s="5"/>
      <c r="AI41" s="1"/>
    </row>
    <row r="42" spans="1: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5"/>
      <c r="R42" s="1"/>
      <c r="S42" s="1"/>
      <c r="T42" s="1"/>
      <c r="U42" s="19"/>
      <c r="V42" s="1"/>
      <c r="W42" s="1"/>
      <c r="X42" s="1"/>
      <c r="Y42" s="1"/>
      <c r="Z42" s="1"/>
      <c r="AA42" s="5"/>
      <c r="AB42" s="1"/>
      <c r="AC42" s="1"/>
      <c r="AD42" s="1"/>
      <c r="AE42" s="19"/>
      <c r="AF42" s="1"/>
      <c r="AG42" s="1"/>
      <c r="AH42" s="1"/>
      <c r="AI42" s="1"/>
    </row>
    <row r="43" spans="1: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0" cm="1">
        <f t="array" ref="U43">_xlfn.ANCHORARRAY(U37)/U40</f>
        <v>0</v>
      </c>
      <c r="V43" s="1"/>
      <c r="W43" s="1"/>
      <c r="X43" s="1"/>
      <c r="Y43" s="1"/>
      <c r="Z43" s="1"/>
      <c r="AA43" s="1"/>
      <c r="AB43" s="1"/>
      <c r="AC43" s="1"/>
      <c r="AD43" s="1"/>
      <c r="AE43" s="20" cm="1">
        <f t="array" ref="AE43">_xlfn.ANCHORARRAY(AE37)/AE40</f>
        <v>0</v>
      </c>
      <c r="AF43" s="1"/>
      <c r="AG43" s="1"/>
      <c r="AH43" s="1"/>
      <c r="AI43" s="1"/>
    </row>
    <row r="44" spans="1: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0">
        <v>0.21549878731999578</v>
      </c>
      <c r="V44" s="1"/>
      <c r="W44" s="1"/>
      <c r="X44" s="1"/>
      <c r="Y44" s="1"/>
      <c r="Z44" s="1"/>
      <c r="AA44" s="1"/>
      <c r="AB44" s="1"/>
      <c r="AC44" s="1"/>
      <c r="AD44" s="1"/>
      <c r="AE44" s="20">
        <v>0.04089747292588564</v>
      </c>
      <c r="AF44" s="1"/>
      <c r="AG44" s="1"/>
      <c r="AH44" s="1"/>
      <c r="AI44" s="1"/>
    </row>
    <row r="45" spans="1: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2" t="s">
        <v>4</v>
      </c>
      <c r="V45" s="1"/>
      <c r="W45" s="1"/>
      <c r="X45" s="1"/>
      <c r="Y45" s="1"/>
      <c r="Z45" s="1"/>
      <c r="AA45" s="1"/>
      <c r="AB45" s="1"/>
      <c r="AC45" s="1"/>
      <c r="AD45" s="1"/>
      <c r="AE45" s="12" t="s">
        <v>4</v>
      </c>
      <c r="AF45" s="1"/>
      <c r="AG45" s="1"/>
      <c r="AH45" s="1"/>
      <c r="AI45" s="1"/>
    </row>
    <row r="46" spans="1:35">
      <c r="A46" s="1"/>
      <c r="B46" s="1"/>
      <c r="C46" s="1"/>
      <c r="D46" s="1"/>
      <c r="E46" s="1"/>
      <c r="F46" s="1"/>
      <c r="G46" s="1"/>
      <c r="H46" s="1"/>
      <c r="I46" s="1"/>
      <c r="J46" s="13"/>
      <c r="K46" s="1"/>
      <c r="L46" s="1"/>
      <c r="M46" s="13"/>
      <c r="N46" s="1"/>
      <c r="O46" s="1"/>
      <c r="P46" s="1"/>
      <c r="Q46" s="1" t="s">
        <v>5</v>
      </c>
      <c r="R46" s="1"/>
      <c r="S46" s="1"/>
      <c r="T46" s="1"/>
      <c r="U46" s="5"/>
      <c r="V46" s="1"/>
      <c r="W46" s="1"/>
      <c r="X46" s="1"/>
      <c r="Y46" s="1"/>
      <c r="Z46" s="1"/>
      <c r="AA46" s="1" t="s">
        <v>5</v>
      </c>
      <c r="AB46" s="1"/>
      <c r="AC46" s="1"/>
      <c r="AD46" s="1"/>
      <c r="AE46" s="5"/>
      <c r="AF46" s="1"/>
      <c r="AG46" s="1"/>
      <c r="AH46" s="1"/>
      <c r="AI46" s="1"/>
    </row>
    <row r="47" spans="1:35">
      <c r="A47" s="1"/>
      <c r="B47" s="1"/>
      <c r="C47" s="1"/>
      <c r="D47" s="1"/>
      <c r="E47" s="1"/>
      <c r="F47" s="1"/>
      <c r="G47" s="1"/>
      <c r="H47" s="1"/>
      <c r="I47" s="1"/>
      <c r="J47" s="5">
        <v>1</v>
      </c>
      <c r="K47" s="5">
        <v>1</v>
      </c>
      <c r="L47" s="5">
        <v>0</v>
      </c>
      <c r="M47" s="5">
        <v>1</v>
      </c>
      <c r="N47" s="1" t="s">
        <v>6</v>
      </c>
      <c r="O47" s="1"/>
      <c r="P47" s="5">
        <f>MMULT($J47:$M48,P$6:P$9)</f>
        <v>0</v>
      </c>
      <c r="Q47" s="1" t="s">
        <v>7</v>
      </c>
      <c r="R47" s="1"/>
      <c r="S47" s="1"/>
      <c r="T47" s="1"/>
      <c r="U47" s="14" cm="1">
        <f t="array" ref="U47">1/(1+EXP(-_xlfn.ANCHORARRAY(P47)))</f>
        <v>0</v>
      </c>
      <c r="V47" s="1"/>
      <c r="W47" s="1"/>
      <c r="X47" s="1"/>
      <c r="Y47" s="1"/>
      <c r="Z47" s="5">
        <f>MMULT($J47:$M48,Z$6:Z$9)</f>
        <v>0</v>
      </c>
      <c r="AA47" s="1" t="s">
        <v>7</v>
      </c>
      <c r="AB47" s="1"/>
      <c r="AC47" s="1"/>
      <c r="AD47" s="1"/>
      <c r="AE47" s="14" cm="1">
        <f t="array" ref="AE47">1/(1+EXP(-_xlfn.ANCHORARRAY(Z47)))</f>
        <v>0</v>
      </c>
      <c r="AF47" s="1"/>
      <c r="AG47" s="1"/>
      <c r="AH47" s="1"/>
      <c r="AI47" s="1"/>
    </row>
    <row r="48" spans="1:35">
      <c r="A48" s="1"/>
      <c r="B48" s="1"/>
      <c r="C48" s="1"/>
      <c r="D48" s="1"/>
      <c r="E48" s="1"/>
      <c r="F48" s="1"/>
      <c r="G48" s="1"/>
      <c r="H48" s="1"/>
      <c r="I48" s="1"/>
      <c r="J48" s="5">
        <v>0</v>
      </c>
      <c r="K48" s="5">
        <v>0</v>
      </c>
      <c r="L48" s="5">
        <v>-1</v>
      </c>
      <c r="M48" s="5">
        <v>2</v>
      </c>
      <c r="N48" s="1" t="s">
        <v>6</v>
      </c>
      <c r="O48" s="1"/>
      <c r="P48" s="5">
        <v>1</v>
      </c>
      <c r="Q48" s="1" t="s">
        <v>7</v>
      </c>
      <c r="R48" s="1"/>
      <c r="S48" s="1"/>
      <c r="T48" s="1"/>
      <c r="U48" s="14">
        <v>0.7310585786300049</v>
      </c>
      <c r="V48" s="1"/>
      <c r="W48" s="1"/>
      <c r="X48" s="1"/>
      <c r="Y48" s="1"/>
      <c r="Z48" s="5">
        <v>1</v>
      </c>
      <c r="AA48" s="1" t="s">
        <v>7</v>
      </c>
      <c r="AB48" s="1"/>
      <c r="AC48" s="1"/>
      <c r="AD48" s="1"/>
      <c r="AE48" s="14">
        <v>0.7310585786300049</v>
      </c>
      <c r="AF48" s="1"/>
      <c r="AG48" s="1"/>
      <c r="AH48" s="1"/>
      <c r="AI48" s="1"/>
    </row>
    <row r="49" spans="1: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 t="s">
        <v>3</v>
      </c>
      <c r="V49" s="1"/>
      <c r="W49" s="1"/>
      <c r="X49" s="1"/>
      <c r="Y49" s="1"/>
      <c r="Z49" s="1"/>
      <c r="AA49" s="1"/>
      <c r="AB49" s="1"/>
      <c r="AC49" s="1"/>
      <c r="AD49" s="1"/>
      <c r="AE49" s="1" t="s">
        <v>3</v>
      </c>
      <c r="AF49" s="1"/>
      <c r="AG49" s="1"/>
      <c r="AH49" s="1"/>
      <c r="AI49" s="1"/>
    </row>
    <row r="50" spans="1: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20" cm="1">
        <f t="array" ref="U51">_xlfn.ANCHORARRAY(U43)*_xlfn.ANCHORARRAY(U47)</f>
        <v>0</v>
      </c>
      <c r="V51" s="1"/>
      <c r="W51" s="1"/>
      <c r="X51" s="1"/>
      <c r="Y51" s="1"/>
      <c r="Z51" s="1"/>
      <c r="AA51" s="1"/>
      <c r="AB51" s="1"/>
      <c r="AC51" s="1"/>
      <c r="AD51" s="1"/>
      <c r="AE51" s="20" cm="1">
        <f t="array" ref="AE51">_xlfn.ANCHORARRAY(AE43)*_xlfn.ANCHORARRAY(AE47)</f>
        <v>0</v>
      </c>
      <c r="AF51" s="1"/>
      <c r="AG51" s="1"/>
      <c r="AH51" s="1"/>
      <c r="AI51" s="1"/>
    </row>
    <row r="52" spans="1: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20">
        <v>0.15754223715464583</v>
      </c>
      <c r="V52" s="1"/>
      <c r="W52" s="1"/>
      <c r="X52" s="1"/>
      <c r="Y52" s="1"/>
      <c r="Z52" s="1"/>
      <c r="AA52" s="1"/>
      <c r="AB52" s="1"/>
      <c r="AC52" s="1"/>
      <c r="AD52" s="1"/>
      <c r="AE52" s="20">
        <v>0.029898448426757065</v>
      </c>
      <c r="AF52" s="1"/>
      <c r="AG52" s="1"/>
      <c r="AH52" s="1"/>
      <c r="AI52" s="1"/>
    </row>
    <row r="53" spans="1: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 t="s">
        <v>3</v>
      </c>
      <c r="V53" s="1"/>
      <c r="W53" s="1"/>
      <c r="X53" s="1"/>
      <c r="Y53" s="1"/>
      <c r="Z53" s="1"/>
      <c r="AA53" s="1"/>
      <c r="AB53" s="1"/>
      <c r="AC53" s="1"/>
      <c r="AD53" s="1"/>
      <c r="AE53" s="1" t="s">
        <v>3</v>
      </c>
      <c r="AF53" s="1"/>
      <c r="AG53" s="1"/>
      <c r="AH53" s="1"/>
      <c r="AI53" s="1"/>
    </row>
    <row r="54" spans="1: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FormatPr defaultRowHeight="15"/>
  <cols>
    <col min="1" max="1" width="116.7109375" customWidth="1"/>
  </cols>
  <sheetData>
    <row r="1" spans="1:1">
      <c r="A1" s="21" t="s">
        <v>11</v>
      </c>
    </row>
    <row r="2" spans="1:1">
      <c r="A2" s="22"/>
    </row>
    <row r="3" spans="1:1">
      <c r="A3" s="22" t="s">
        <v>12</v>
      </c>
    </row>
    <row r="4" spans="1:1">
      <c r="A4" s="22"/>
    </row>
    <row r="5" spans="1:1">
      <c r="A5" s="22" t="s">
        <v>13</v>
      </c>
    </row>
    <row r="6" spans="1:1">
      <c r="A6" s="22" t="s">
        <v>14</v>
      </c>
    </row>
    <row r="7" spans="1:1">
      <c r="A7" s="22" t="s">
        <v>15</v>
      </c>
    </row>
    <row r="8" spans="1:1">
      <c r="A8" s="22" t="s">
        <v>16</v>
      </c>
    </row>
    <row r="9" spans="1:1">
      <c r="A9" s="22" t="s">
        <v>17</v>
      </c>
    </row>
    <row r="10" spans="1:1">
      <c r="A10" s="22" t="s">
        <v>18</v>
      </c>
    </row>
    <row r="11" spans="1:1">
      <c r="A11" s="22"/>
    </row>
    <row r="12" spans="1:1">
      <c r="A12" s="22" t="s">
        <v>19</v>
      </c>
    </row>
    <row r="13" spans="1:1">
      <c r="A13" s="22" t="s">
        <v>20</v>
      </c>
    </row>
    <row r="14" spans="1:1">
      <c r="A14" s="22"/>
    </row>
    <row r="15" spans="1:1">
      <c r="A15" s="22" t="s">
        <v>21</v>
      </c>
    </row>
    <row r="16" spans="1:1">
      <c r="A16" s="22" t="s">
        <v>22</v>
      </c>
    </row>
    <row r="17" spans="1:1">
      <c r="A17" s="22" t="s">
        <v>23</v>
      </c>
    </row>
    <row r="18" spans="1:1">
      <c r="A18" s="22" t="s">
        <v>24</v>
      </c>
    </row>
    <row r="19" spans="1:1">
      <c r="A19" s="22" t="s">
        <v>25</v>
      </c>
    </row>
    <row r="20" spans="1:1">
      <c r="A20" s="22" t="s">
        <v>26</v>
      </c>
    </row>
    <row r="21" spans="1:1">
      <c r="A21" s="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mLSTM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2026-10-10T19:02:41Z</dcterms:created>
  <dcterms:modified xsi:type="dcterms:W3CDTF">2026-10-10T19:02:41Z</dcterms:modified>
</cp:coreProperties>
</file>