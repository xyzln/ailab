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 heads" sheetId="1" r:id="rId1"/>
    <sheet name="LICENSE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<sst xmlns="http://schemas.openxmlformats.org/spreadsheetml/2006/main" count="169" uniqueCount="34">
  <si>
    <t>Multi-head Attention</t>
  </si>
  <si>
    <t>t</t>
  </si>
  <si>
    <t>↓</t>
  </si>
  <si>
    <t>Wq</t>
  </si>
  <si>
    <t>Q</t>
  </si>
  <si>
    <t>→</t>
  </si>
  <si>
    <t>Wk</t>
  </si>
  <si>
    <t>K</t>
  </si>
  <si>
    <t>K^T * Q / sqrt(dk)</t>
  </si>
  <si>
    <t>Softmax</t>
  </si>
  <si>
    <t>K^T</t>
  </si>
  <si>
    <t>Wv</t>
  </si>
  <si>
    <t>V</t>
  </si>
  <si>
    <t>V'</t>
  </si>
  <si>
    <t>Head</t>
  </si>
  <si>
    <t>Wo</t>
  </si>
  <si>
    <t>Output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</si>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</sst>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2"/>
  <sheetViews>
    <sheetView tabSelected="1" workbookViewId="0"/>
  </sheetViews>
  <sheetFormatPr defaultRowHeight="15"/>
  <cols>
    <col min="1" max="55" width="5.5703125" customWidth="1"/>
  </cols>
  <sheetData>
    <row r="1" spans="1:4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 t="s">
        <v>1</v>
      </c>
      <c r="O4" s="3">
        <v>0</v>
      </c>
      <c r="P4" s="3">
        <v>1</v>
      </c>
      <c r="Q4" s="3">
        <v>2</v>
      </c>
      <c r="R4" s="3">
        <v>3</v>
      </c>
      <c r="S4" s="3">
        <v>4</v>
      </c>
      <c r="T4" s="3">
        <v>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>
        <v>3</v>
      </c>
      <c r="P6" s="3">
        <v>3</v>
      </c>
      <c r="Q6" s="3">
        <v>0</v>
      </c>
      <c r="R6" s="3">
        <v>3</v>
      </c>
      <c r="S6" s="3">
        <v>0</v>
      </c>
      <c r="T6" s="3">
        <v>2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>
        <v>2</v>
      </c>
      <c r="P7" s="3">
        <v>0</v>
      </c>
      <c r="Q7" s="3">
        <v>3</v>
      </c>
      <c r="R7" s="3">
        <v>2</v>
      </c>
      <c r="S7" s="3">
        <v>3</v>
      </c>
      <c r="T7" s="3">
        <v>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>
        <v>1</v>
      </c>
      <c r="P8" s="3">
        <v>0</v>
      </c>
      <c r="Q8" s="3">
        <v>1</v>
      </c>
      <c r="R8" s="3">
        <v>1</v>
      </c>
      <c r="S8" s="3">
        <v>1</v>
      </c>
      <c r="T8" s="3">
        <v>3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>
        <v>3</v>
      </c>
      <c r="P9" s="3">
        <v>1</v>
      </c>
      <c r="Q9" s="3">
        <v>2</v>
      </c>
      <c r="R9" s="3">
        <v>3</v>
      </c>
      <c r="S9" s="3">
        <v>1</v>
      </c>
      <c r="T9" s="3">
        <v>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2</v>
      </c>
      <c r="P10" s="3">
        <v>3</v>
      </c>
      <c r="Q10" s="3">
        <v>2</v>
      </c>
      <c r="R10" s="3">
        <v>2</v>
      </c>
      <c r="S10" s="3">
        <v>1</v>
      </c>
      <c r="T10" s="3">
        <v>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 t="s">
        <v>2</v>
      </c>
      <c r="P11" s="3" t="s">
        <v>2</v>
      </c>
      <c r="Q11" s="3" t="s">
        <v>2</v>
      </c>
      <c r="R11" s="3" t="s">
        <v>2</v>
      </c>
      <c r="S11" s="3" t="s">
        <v>2</v>
      </c>
      <c r="T11" s="3" t="s">
        <v>2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>
      <c r="A15" s="1"/>
      <c r="B15" s="1"/>
      <c r="C15" s="1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1"/>
      <c r="P15" s="3"/>
      <c r="Q15" s="3"/>
      <c r="R15" s="3"/>
      <c r="S15" s="3"/>
      <c r="T15" s="3"/>
      <c r="U15" s="1"/>
      <c r="V15" s="1"/>
      <c r="W15" s="1"/>
      <c r="X15" s="3"/>
      <c r="Y15" s="3"/>
      <c r="Z15" s="1"/>
      <c r="AA15" s="3" t="s">
        <v>1</v>
      </c>
      <c r="AB15" s="3">
        <v>0</v>
      </c>
      <c r="AC15" s="3">
        <v>1</v>
      </c>
      <c r="AD15" s="3">
        <v>2</v>
      </c>
      <c r="AE15" s="3">
        <v>3</v>
      </c>
      <c r="AF15" s="3">
        <v>4</v>
      </c>
      <c r="AG15" s="3">
        <v>5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>
      <c r="A16" s="1"/>
      <c r="B16" s="1"/>
      <c r="C16" s="1"/>
      <c r="D16" s="1"/>
      <c r="E16" s="1"/>
      <c r="F16" s="1"/>
      <c r="G16" s="1"/>
      <c r="H16" s="1"/>
      <c r="I16" s="3"/>
      <c r="J16" s="3"/>
      <c r="K16" s="3"/>
      <c r="L16" s="3" t="s">
        <v>3</v>
      </c>
      <c r="M16" s="3"/>
      <c r="N16" s="1"/>
      <c r="O16" s="3" t="s">
        <v>4</v>
      </c>
      <c r="P16" s="3"/>
      <c r="Q16" s="3"/>
      <c r="R16" s="3"/>
      <c r="S16" s="3"/>
      <c r="T16" s="3"/>
      <c r="U16" s="1"/>
      <c r="V16" s="1"/>
      <c r="W16" s="3"/>
      <c r="X16" s="3"/>
      <c r="Y16" s="3"/>
      <c r="Z16" s="1"/>
      <c r="AA16" s="1"/>
      <c r="AB16" s="3" t="s">
        <v>4</v>
      </c>
      <c r="AC16" s="3"/>
      <c r="AD16" s="3"/>
      <c r="AE16" s="3"/>
      <c r="AF16" s="3"/>
      <c r="AG16" s="3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1"/>
      <c r="B17" s="1"/>
      <c r="C17" s="1"/>
      <c r="D17" s="1"/>
      <c r="E17" s="1"/>
      <c r="F17" s="1"/>
      <c r="G17" s="1"/>
      <c r="H17" s="3">
        <v>1</v>
      </c>
      <c r="I17" s="3">
        <v>-1</v>
      </c>
      <c r="J17" s="3">
        <v>1</v>
      </c>
      <c r="K17" s="3">
        <v>0</v>
      </c>
      <c r="L17" s="3">
        <v>0</v>
      </c>
      <c r="M17" s="3" t="s">
        <v>5</v>
      </c>
      <c r="N17" s="1"/>
      <c r="O17" s="3">
        <f>MMULT(H17:L19,O6:T10)</f>
        <v>0</v>
      </c>
      <c r="P17" s="3">
        <v>3</v>
      </c>
      <c r="Q17" s="3">
        <v>-2</v>
      </c>
      <c r="R17" s="3">
        <v>2</v>
      </c>
      <c r="S17" s="3">
        <v>-2</v>
      </c>
      <c r="T17" s="3">
        <v>4</v>
      </c>
      <c r="U17" s="1"/>
      <c r="V17" s="1"/>
      <c r="W17" s="3"/>
      <c r="X17" s="3"/>
      <c r="Y17" s="3"/>
      <c r="Z17" s="1"/>
      <c r="AA17" s="3"/>
      <c r="AB17" s="3">
        <f>O17:T19</f>
        <v>0</v>
      </c>
      <c r="AC17" s="3">
        <v>3</v>
      </c>
      <c r="AD17" s="3">
        <v>-2</v>
      </c>
      <c r="AE17" s="3">
        <v>2</v>
      </c>
      <c r="AF17" s="3">
        <v>-2</v>
      </c>
      <c r="AG17" s="3">
        <v>4</v>
      </c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1"/>
      <c r="B18" s="1"/>
      <c r="C18" s="1"/>
      <c r="D18" s="1"/>
      <c r="E18" s="1"/>
      <c r="F18" s="1"/>
      <c r="G18" s="1"/>
      <c r="H18" s="3">
        <v>0</v>
      </c>
      <c r="I18" s="3">
        <v>0</v>
      </c>
      <c r="J18" s="3">
        <v>-1</v>
      </c>
      <c r="K18" s="3">
        <v>0</v>
      </c>
      <c r="L18" s="3">
        <v>0</v>
      </c>
      <c r="M18" s="3" t="s">
        <v>5</v>
      </c>
      <c r="N18" s="1"/>
      <c r="O18" s="3">
        <v>-1</v>
      </c>
      <c r="P18" s="3">
        <v>0</v>
      </c>
      <c r="Q18" s="3">
        <v>-1</v>
      </c>
      <c r="R18" s="3">
        <v>-1</v>
      </c>
      <c r="S18" s="3">
        <v>-1</v>
      </c>
      <c r="T18" s="3">
        <v>-3</v>
      </c>
      <c r="U18" s="1"/>
      <c r="V18" s="1"/>
      <c r="W18" s="3"/>
      <c r="X18" s="3"/>
      <c r="Y18" s="3"/>
      <c r="Z18" s="1"/>
      <c r="AA18" s="3"/>
      <c r="AB18" s="3">
        <v>-1</v>
      </c>
      <c r="AC18" s="3">
        <v>0</v>
      </c>
      <c r="AD18" s="3">
        <v>-1</v>
      </c>
      <c r="AE18" s="3">
        <v>-1</v>
      </c>
      <c r="AF18" s="3">
        <v>-1</v>
      </c>
      <c r="AG18" s="3">
        <v>-3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1"/>
      <c r="B19" s="1"/>
      <c r="C19" s="1"/>
      <c r="D19" s="1"/>
      <c r="E19" s="1"/>
      <c r="F19" s="1"/>
      <c r="G19" s="1"/>
      <c r="H19" s="3">
        <v>1</v>
      </c>
      <c r="I19" s="3">
        <v>-1</v>
      </c>
      <c r="J19" s="3">
        <v>1</v>
      </c>
      <c r="K19" s="3">
        <v>0</v>
      </c>
      <c r="L19" s="3">
        <v>1</v>
      </c>
      <c r="M19" s="3" t="s">
        <v>5</v>
      </c>
      <c r="N19" s="1"/>
      <c r="O19" s="3">
        <v>4</v>
      </c>
      <c r="P19" s="3">
        <v>6</v>
      </c>
      <c r="Q19" s="3">
        <v>0</v>
      </c>
      <c r="R19" s="3">
        <v>4</v>
      </c>
      <c r="S19" s="3">
        <v>-1</v>
      </c>
      <c r="T19" s="3">
        <v>6</v>
      </c>
      <c r="U19" s="1"/>
      <c r="V19" s="1"/>
      <c r="W19" s="3"/>
      <c r="X19" s="3"/>
      <c r="Y19" s="3"/>
      <c r="Z19" s="1"/>
      <c r="AA19" s="3"/>
      <c r="AB19" s="3">
        <v>4</v>
      </c>
      <c r="AC19" s="3">
        <v>6</v>
      </c>
      <c r="AD19" s="3">
        <v>0</v>
      </c>
      <c r="AE19" s="3">
        <v>4</v>
      </c>
      <c r="AF19" s="3">
        <v>-1</v>
      </c>
      <c r="AG19" s="3">
        <v>6</v>
      </c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1"/>
      <c r="B20" s="1"/>
      <c r="C20" s="1"/>
      <c r="D20" s="1"/>
      <c r="E20" s="1"/>
      <c r="F20" s="1"/>
      <c r="G20" s="1"/>
      <c r="H20" s="1"/>
      <c r="I20" s="3"/>
      <c r="J20" s="3"/>
      <c r="K20" s="3"/>
      <c r="L20" s="3" t="s">
        <v>6</v>
      </c>
      <c r="M20" s="3"/>
      <c r="N20" s="1"/>
      <c r="O20" s="3" t="s">
        <v>7</v>
      </c>
      <c r="P20" s="3"/>
      <c r="Q20" s="3"/>
      <c r="R20" s="3"/>
      <c r="S20" s="3"/>
      <c r="T20" s="3"/>
      <c r="U20" s="1"/>
      <c r="V20" s="1"/>
      <c r="W20" s="3"/>
      <c r="X20" s="3"/>
      <c r="Y20" s="3"/>
      <c r="Z20" s="1"/>
      <c r="AA20" s="3"/>
      <c r="AB20" s="3"/>
      <c r="AC20" s="3"/>
      <c r="AD20" s="3"/>
      <c r="AE20" s="3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/>
      <c r="B21" s="1"/>
      <c r="C21" s="1"/>
      <c r="D21" s="1"/>
      <c r="E21" s="1"/>
      <c r="F21" s="1"/>
      <c r="G21" s="1"/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 t="s">
        <v>5</v>
      </c>
      <c r="N21" s="1"/>
      <c r="O21" s="3">
        <f>MMULT(H21:L23,O6:T10)</f>
        <v>0</v>
      </c>
      <c r="P21" s="3">
        <v>3</v>
      </c>
      <c r="Q21" s="3">
        <v>0</v>
      </c>
      <c r="R21" s="3">
        <v>3</v>
      </c>
      <c r="S21" s="3">
        <v>0</v>
      </c>
      <c r="T21" s="3">
        <v>2</v>
      </c>
      <c r="U21" s="1"/>
      <c r="V21" s="1"/>
      <c r="W21" s="4"/>
      <c r="X21" s="3"/>
      <c r="Y21" s="3"/>
      <c r="Z21" s="1"/>
      <c r="AA21" s="3"/>
      <c r="AB21" s="4" t="s">
        <v>8</v>
      </c>
      <c r="AC21" s="3"/>
      <c r="AD21" s="3"/>
      <c r="AE21" s="3"/>
      <c r="AF21" s="1"/>
      <c r="AG21" s="1"/>
      <c r="AH21" s="1"/>
      <c r="AI21" s="3" t="s">
        <v>9</v>
      </c>
      <c r="AJ21" s="1"/>
      <c r="AK21" s="1"/>
      <c r="AL21" s="1"/>
      <c r="AM21" s="1"/>
      <c r="AN21" s="1"/>
      <c r="AO21" s="1"/>
      <c r="AP21" s="1"/>
    </row>
    <row r="22" spans="1:42">
      <c r="A22" s="1"/>
      <c r="B22" s="1"/>
      <c r="C22" s="1"/>
      <c r="D22" s="1"/>
      <c r="E22" s="1"/>
      <c r="F22" s="1"/>
      <c r="G22" s="1"/>
      <c r="H22" s="3">
        <v>0</v>
      </c>
      <c r="I22" s="3">
        <v>1</v>
      </c>
      <c r="J22" s="3">
        <v>0</v>
      </c>
      <c r="K22" s="3">
        <v>1</v>
      </c>
      <c r="L22" s="3">
        <v>1</v>
      </c>
      <c r="M22" s="3" t="s">
        <v>5</v>
      </c>
      <c r="N22" s="1"/>
      <c r="O22" s="3">
        <v>7</v>
      </c>
      <c r="P22" s="3">
        <v>4</v>
      </c>
      <c r="Q22" s="3">
        <v>7</v>
      </c>
      <c r="R22" s="3">
        <v>7</v>
      </c>
      <c r="S22" s="3">
        <v>5</v>
      </c>
      <c r="T22" s="3">
        <v>4</v>
      </c>
      <c r="U22" s="1"/>
      <c r="V22" s="1"/>
      <c r="W22" s="1"/>
      <c r="X22" s="3" t="s">
        <v>10</v>
      </c>
      <c r="Y22" s="3"/>
      <c r="Z22" s="1"/>
      <c r="AA22" s="3"/>
      <c r="AB22" s="3" t="s">
        <v>2</v>
      </c>
      <c r="AC22" s="3" t="s">
        <v>2</v>
      </c>
      <c r="AD22" s="3" t="s">
        <v>2</v>
      </c>
      <c r="AE22" s="3" t="s">
        <v>2</v>
      </c>
      <c r="AF22" s="3" t="s">
        <v>2</v>
      </c>
      <c r="AG22" s="3" t="s">
        <v>2</v>
      </c>
      <c r="AH22" s="1"/>
      <c r="AI22" s="3"/>
      <c r="AJ22" s="3">
        <v>0</v>
      </c>
      <c r="AK22" s="3">
        <v>1</v>
      </c>
      <c r="AL22" s="3">
        <v>2</v>
      </c>
      <c r="AM22" s="3">
        <v>3</v>
      </c>
      <c r="AN22" s="3">
        <v>4</v>
      </c>
      <c r="AO22" s="3">
        <v>5</v>
      </c>
      <c r="AP22" s="1"/>
    </row>
    <row r="23" spans="1:42">
      <c r="A23" s="1"/>
      <c r="B23" s="1"/>
      <c r="C23" s="1"/>
      <c r="D23" s="1"/>
      <c r="E23" s="1"/>
      <c r="F23" s="1"/>
      <c r="G23" s="1"/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 t="s">
        <v>5</v>
      </c>
      <c r="N23" s="1"/>
      <c r="O23" s="3">
        <v>3</v>
      </c>
      <c r="P23" s="3">
        <v>1</v>
      </c>
      <c r="Q23" s="3">
        <v>2</v>
      </c>
      <c r="R23" s="3">
        <v>3</v>
      </c>
      <c r="S23" s="3">
        <v>1</v>
      </c>
      <c r="T23" s="3">
        <v>1</v>
      </c>
      <c r="U23" s="1"/>
      <c r="V23" s="1"/>
      <c r="W23" s="3">
        <v>0</v>
      </c>
      <c r="X23" s="3">
        <f>TRANSPOSE(O21:T23)</f>
        <v>0</v>
      </c>
      <c r="Y23" s="3">
        <v>7</v>
      </c>
      <c r="Z23" s="3">
        <v>3</v>
      </c>
      <c r="AA23" s="3" t="s">
        <v>5</v>
      </c>
      <c r="AB23" s="3" cm="1">
        <f t="array" ref="AB23">MMULT(_xlfn.ANCHORARRAY(X23),_xlfn.ANCHORARRAY(AB17)) / SQRT(3)</f>
        <v>0</v>
      </c>
      <c r="AC23" s="3">
        <v>15.588457268119896</v>
      </c>
      <c r="AD23" s="3">
        <v>-7.505553499465135</v>
      </c>
      <c r="AE23" s="3">
        <v>6.3508529610858835</v>
      </c>
      <c r="AF23" s="3">
        <v>-9.237604307034013</v>
      </c>
      <c r="AG23" s="3">
        <v>5.196152422706632</v>
      </c>
      <c r="AH23" s="1"/>
      <c r="AI23" s="3">
        <v>0</v>
      </c>
      <c r="AJ23" s="3">
        <f>SOFTMAX(AB23:AB28)</f>
        <v>0</v>
      </c>
      <c r="AK23" s="3">
        <f>SOFTMAX(AC23:AC28)</f>
        <v>0</v>
      </c>
      <c r="AL23" s="3">
        <f>SOFTMAX(AD23:AD28)</f>
        <v>0</v>
      </c>
      <c r="AM23" s="3">
        <f>SOFTMAX(AE23:AE28)</f>
        <v>0</v>
      </c>
      <c r="AN23" s="3">
        <f>SOFTMAX(AF23:AF28)</f>
        <v>0</v>
      </c>
      <c r="AO23" s="3">
        <f>SOFTMAX(AG23:AG28)</f>
        <v>0</v>
      </c>
      <c r="AP23" s="1"/>
    </row>
    <row r="24" spans="1:42">
      <c r="A24" s="1"/>
      <c r="B24" s="1"/>
      <c r="C24" s="1"/>
      <c r="D24" s="1"/>
      <c r="E24" s="1"/>
      <c r="F24" s="1"/>
      <c r="G24" s="1"/>
      <c r="H24" s="1"/>
      <c r="I24" s="3"/>
      <c r="J24" s="3"/>
      <c r="K24" s="3"/>
      <c r="L24" s="4" t="s">
        <v>11</v>
      </c>
      <c r="M24" s="3"/>
      <c r="N24" s="1"/>
      <c r="O24" s="3" t="s">
        <v>12</v>
      </c>
      <c r="P24" s="3"/>
      <c r="Q24" s="3"/>
      <c r="R24" s="3"/>
      <c r="S24" s="3"/>
      <c r="T24" s="3"/>
      <c r="U24" s="1"/>
      <c r="V24" s="1"/>
      <c r="W24" s="3">
        <v>1</v>
      </c>
      <c r="X24" s="3">
        <v>3</v>
      </c>
      <c r="Y24" s="3">
        <v>4</v>
      </c>
      <c r="Z24" s="3">
        <v>1</v>
      </c>
      <c r="AA24" s="3" t="s">
        <v>5</v>
      </c>
      <c r="AB24" s="3">
        <v>3.464101615137755</v>
      </c>
      <c r="AC24" s="3">
        <v>8.660254037844387</v>
      </c>
      <c r="AD24" s="3">
        <v>-5.773502691896258</v>
      </c>
      <c r="AE24" s="3">
        <v>3.464101615137755</v>
      </c>
      <c r="AF24" s="3">
        <v>-6.3508529610858835</v>
      </c>
      <c r="AG24" s="3">
        <v>3.464101615137755</v>
      </c>
      <c r="AH24" s="1"/>
      <c r="AI24" s="3">
        <v>1</v>
      </c>
      <c r="AJ24" s="3">
        <v>0.026839598341015403</v>
      </c>
      <c r="AK24" s="3">
        <v>0.0004895538351402038</v>
      </c>
      <c r="AL24" s="3">
        <v>0.035569341211035894</v>
      </c>
      <c r="AM24" s="3">
        <v>0.026839598341015403</v>
      </c>
      <c r="AN24" s="3">
        <v>0.03938153560317778</v>
      </c>
      <c r="AO24" s="3">
        <v>0.08061827933418211</v>
      </c>
      <c r="AP24" s="1"/>
    </row>
    <row r="25" spans="1:42">
      <c r="A25" s="1"/>
      <c r="B25" s="1"/>
      <c r="C25" s="1"/>
      <c r="D25" s="1"/>
      <c r="E25" s="1"/>
      <c r="F25" s="1"/>
      <c r="G25" s="1"/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 t="s">
        <v>5</v>
      </c>
      <c r="N25" s="1"/>
      <c r="O25" s="3">
        <f>MMULT(H25:L27,O6:T10)</f>
        <v>0</v>
      </c>
      <c r="P25" s="3">
        <v>0</v>
      </c>
      <c r="Q25" s="3">
        <v>3</v>
      </c>
      <c r="R25" s="3">
        <v>2</v>
      </c>
      <c r="S25" s="3">
        <v>3</v>
      </c>
      <c r="T25" s="3">
        <v>1</v>
      </c>
      <c r="U25" s="1"/>
      <c r="V25" s="1"/>
      <c r="W25" s="3">
        <v>2</v>
      </c>
      <c r="X25" s="3">
        <v>0</v>
      </c>
      <c r="Y25" s="3">
        <v>7</v>
      </c>
      <c r="Z25" s="3">
        <v>2</v>
      </c>
      <c r="AA25" s="3" t="s">
        <v>5</v>
      </c>
      <c r="AB25" s="3">
        <v>0.5773502691896258</v>
      </c>
      <c r="AC25" s="3">
        <v>6.92820323027551</v>
      </c>
      <c r="AD25" s="3">
        <v>-4.041451884327381</v>
      </c>
      <c r="AE25" s="3">
        <v>0.5773502691896258</v>
      </c>
      <c r="AF25" s="3">
        <v>-5.196152422706632</v>
      </c>
      <c r="AG25" s="3">
        <v>-5.196152422706632</v>
      </c>
      <c r="AH25" s="1"/>
      <c r="AI25" s="3">
        <v>2</v>
      </c>
      <c r="AJ25" s="3">
        <v>0.0014964969363577799</v>
      </c>
      <c r="AK25" s="3">
        <v>0.0000866124550704927</v>
      </c>
      <c r="AL25" s="3">
        <v>0.20104622815622575</v>
      </c>
      <c r="AM25" s="3">
        <v>0.0014964969363577799</v>
      </c>
      <c r="AN25" s="3">
        <v>0.124960489748277</v>
      </c>
      <c r="AO25" s="3">
        <v>0.000013974394010220879</v>
      </c>
      <c r="AP25" s="1"/>
    </row>
    <row r="26" spans="1:42">
      <c r="A26" s="1"/>
      <c r="B26" s="1"/>
      <c r="C26" s="1"/>
      <c r="D26" s="1"/>
      <c r="E26" s="1"/>
      <c r="F26" s="1"/>
      <c r="G26" s="1"/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 t="s">
        <v>5</v>
      </c>
      <c r="N26" s="1"/>
      <c r="O26" s="3">
        <v>3</v>
      </c>
      <c r="P26" s="3">
        <v>3</v>
      </c>
      <c r="Q26" s="3">
        <v>0</v>
      </c>
      <c r="R26" s="3">
        <v>3</v>
      </c>
      <c r="S26" s="3">
        <v>0</v>
      </c>
      <c r="T26" s="3">
        <v>2</v>
      </c>
      <c r="U26" s="1"/>
      <c r="V26" s="1"/>
      <c r="W26" s="3">
        <v>3</v>
      </c>
      <c r="X26" s="3">
        <v>3</v>
      </c>
      <c r="Y26" s="3">
        <v>7</v>
      </c>
      <c r="Z26" s="3">
        <v>3</v>
      </c>
      <c r="AA26" s="3" t="s">
        <v>5</v>
      </c>
      <c r="AB26" s="3">
        <v>6.3508529610858835</v>
      </c>
      <c r="AC26" s="3">
        <v>15.588457268119896</v>
      </c>
      <c r="AD26" s="3">
        <v>-7.505553499465135</v>
      </c>
      <c r="AE26" s="3">
        <v>6.3508529610858835</v>
      </c>
      <c r="AF26" s="3">
        <v>-9.237604307034013</v>
      </c>
      <c r="AG26" s="3">
        <v>5.196152422706632</v>
      </c>
      <c r="AH26" s="1"/>
      <c r="AI26" s="3">
        <v>3</v>
      </c>
      <c r="AJ26" s="3">
        <v>0.48136686524750316</v>
      </c>
      <c r="AK26" s="3">
        <v>0.4996672550942271</v>
      </c>
      <c r="AL26" s="3">
        <v>0.006292970754984638</v>
      </c>
      <c r="AM26" s="3">
        <v>0.48136686524750316</v>
      </c>
      <c r="AN26" s="3">
        <v>0.002195798410632649</v>
      </c>
      <c r="AO26" s="3">
        <v>0.45567335319535085</v>
      </c>
      <c r="AP26" s="1"/>
    </row>
    <row r="27" spans="1:42">
      <c r="A27" s="1"/>
      <c r="B27" s="1"/>
      <c r="C27" s="1"/>
      <c r="D27" s="1"/>
      <c r="E27" s="1"/>
      <c r="F27" s="1"/>
      <c r="G27" s="1"/>
      <c r="H27" s="3">
        <v>0</v>
      </c>
      <c r="I27" s="3">
        <v>0</v>
      </c>
      <c r="J27" s="3">
        <v>0</v>
      </c>
      <c r="K27" s="3">
        <v>1</v>
      </c>
      <c r="L27" s="3">
        <v>-1</v>
      </c>
      <c r="M27" s="3" t="s">
        <v>5</v>
      </c>
      <c r="N27" s="1"/>
      <c r="O27" s="3">
        <v>1</v>
      </c>
      <c r="P27" s="3">
        <v>-2</v>
      </c>
      <c r="Q27" s="3">
        <v>0</v>
      </c>
      <c r="R27" s="3">
        <v>1</v>
      </c>
      <c r="S27" s="3">
        <v>0</v>
      </c>
      <c r="T27" s="3">
        <v>-1</v>
      </c>
      <c r="U27" s="1"/>
      <c r="V27" s="1"/>
      <c r="W27" s="3">
        <v>4</v>
      </c>
      <c r="X27" s="3">
        <v>0</v>
      </c>
      <c r="Y27" s="3">
        <v>5</v>
      </c>
      <c r="Z27" s="3">
        <v>1</v>
      </c>
      <c r="AA27" s="3" t="s">
        <v>5</v>
      </c>
      <c r="AB27" s="3">
        <v>-0.5773502691896258</v>
      </c>
      <c r="AC27" s="3">
        <v>3.464101615137755</v>
      </c>
      <c r="AD27" s="3">
        <v>-2.886751345948129</v>
      </c>
      <c r="AE27" s="3">
        <v>-0.5773502691896258</v>
      </c>
      <c r="AF27" s="3">
        <v>-3.464101615137755</v>
      </c>
      <c r="AG27" s="3">
        <v>-5.196152422706632</v>
      </c>
      <c r="AH27" s="1"/>
      <c r="AI27" s="3">
        <v>4</v>
      </c>
      <c r="AJ27" s="3">
        <v>0.0004716238508502883</v>
      </c>
      <c r="AK27" s="3">
        <v>0.000002711066264583153</v>
      </c>
      <c r="AL27" s="3">
        <v>0.637934370705915</v>
      </c>
      <c r="AM27" s="3">
        <v>0.0004716238508502883</v>
      </c>
      <c r="AN27" s="3">
        <v>0.7063058880790031</v>
      </c>
      <c r="AO27" s="3">
        <v>0.000013974394010220879</v>
      </c>
      <c r="AP27" s="1"/>
    </row>
    <row r="28" spans="1:4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3">
        <v>5</v>
      </c>
      <c r="X28" s="3">
        <v>2</v>
      </c>
      <c r="Y28" s="3">
        <v>4</v>
      </c>
      <c r="Z28" s="3">
        <v>1</v>
      </c>
      <c r="AA28" s="3" t="s">
        <v>5</v>
      </c>
      <c r="AB28" s="3">
        <v>2.3094010767585034</v>
      </c>
      <c r="AC28" s="3">
        <v>6.92820323027551</v>
      </c>
      <c r="AD28" s="3">
        <v>-4.618802153517007</v>
      </c>
      <c r="AE28" s="3">
        <v>2.3094010767585034</v>
      </c>
      <c r="AF28" s="3">
        <v>-5.196152422706632</v>
      </c>
      <c r="AG28" s="3">
        <v>1.1547005383792517</v>
      </c>
      <c r="AH28" s="1"/>
      <c r="AI28" s="3">
        <v>5</v>
      </c>
      <c r="AJ28" s="3">
        <v>0.0084585503767703</v>
      </c>
      <c r="AK28" s="3">
        <v>0.0000866124550704927</v>
      </c>
      <c r="AL28" s="3">
        <v>0.11286411841685422</v>
      </c>
      <c r="AM28" s="3">
        <v>0.0084585503767703</v>
      </c>
      <c r="AN28" s="3">
        <v>0.124960489748277</v>
      </c>
      <c r="AO28" s="3">
        <v>0.00800706548709568</v>
      </c>
      <c r="AP28" s="1"/>
    </row>
    <row r="29" spans="1:4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" t="s">
        <v>12</v>
      </c>
      <c r="AC30" s="3"/>
      <c r="AD30" s="3"/>
      <c r="AE30" s="1"/>
      <c r="AF30" s="3"/>
      <c r="AG30" s="3"/>
      <c r="AH30" s="1"/>
      <c r="AI30" s="3" t="s">
        <v>13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2</v>
      </c>
      <c r="AO30" s="3" t="s">
        <v>2</v>
      </c>
      <c r="AP30" s="1"/>
    </row>
    <row r="31" spans="1:4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3"/>
      <c r="X31" s="3"/>
      <c r="Y31" s="3"/>
      <c r="Z31" s="3"/>
      <c r="AA31" s="3"/>
      <c r="AB31" s="3">
        <f>O25:T27</f>
        <v>0</v>
      </c>
      <c r="AC31" s="3">
        <v>0</v>
      </c>
      <c r="AD31" s="3">
        <v>3</v>
      </c>
      <c r="AE31" s="3">
        <v>2</v>
      </c>
      <c r="AF31" s="3">
        <v>3</v>
      </c>
      <c r="AG31" s="3">
        <v>1</v>
      </c>
      <c r="AH31" s="1"/>
      <c r="AI31" s="3" t="s">
        <v>5</v>
      </c>
      <c r="AJ31" s="5" cm="1">
        <f t="array" ref="AJ31">MMULT(_xlfn.ANCHORARRAY(AB31),AJ23:AO28)</f>
        <v>0</v>
      </c>
      <c r="AK31" s="5">
        <v>1.999023603395984</v>
      </c>
      <c r="AL31" s="5">
        <v>2.654977798023215</v>
      </c>
      <c r="AM31" s="5">
        <v>1.939830373728407</v>
      </c>
      <c r="AN31" s="5">
        <v>2.627542816872648</v>
      </c>
      <c r="AO31" s="5">
        <v>1.8307843246325604</v>
      </c>
      <c r="AP31" s="1"/>
    </row>
    <row r="32" spans="1:4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3"/>
      <c r="X32" s="3"/>
      <c r="Y32" s="3"/>
      <c r="Z32" s="1"/>
      <c r="AA32" s="1"/>
      <c r="AB32" s="3">
        <v>3</v>
      </c>
      <c r="AC32" s="3">
        <v>3</v>
      </c>
      <c r="AD32" s="3">
        <v>0</v>
      </c>
      <c r="AE32" s="3">
        <v>3</v>
      </c>
      <c r="AF32" s="3">
        <v>0</v>
      </c>
      <c r="AG32" s="3">
        <v>2</v>
      </c>
      <c r="AH32" s="1"/>
      <c r="AI32" s="3" t="s">
        <v>5</v>
      </c>
      <c r="AJ32" s="5">
        <v>2.9856370872616056</v>
      </c>
      <c r="AK32" s="5">
        <v>2.999645416980924</v>
      </c>
      <c r="AL32" s="5">
        <v>0.37019408499672396</v>
      </c>
      <c r="AM32" s="5">
        <v>2.9856370872616056</v>
      </c>
      <c r="AN32" s="5">
        <v>0.3812403767698832</v>
      </c>
      <c r="AO32" s="5">
        <v>2.991909088148843</v>
      </c>
      <c r="AP32" s="1"/>
    </row>
    <row r="33" spans="1:4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3"/>
      <c r="X33" s="1"/>
      <c r="Y33" s="1"/>
      <c r="Z33" s="1"/>
      <c r="AA33" s="1"/>
      <c r="AB33" s="3">
        <v>1</v>
      </c>
      <c r="AC33" s="3">
        <v>-2</v>
      </c>
      <c r="AD33" s="3">
        <v>0</v>
      </c>
      <c r="AE33" s="3">
        <v>1</v>
      </c>
      <c r="AF33" s="3">
        <v>0</v>
      </c>
      <c r="AG33" s="3">
        <v>-1</v>
      </c>
      <c r="AH33" s="1"/>
      <c r="AI33" s="3" t="s">
        <v>5</v>
      </c>
      <c r="AJ33" s="5">
        <v>0.9005959834362052</v>
      </c>
      <c r="AK33" s="5">
        <v>0.9982687900631033</v>
      </c>
      <c r="AL33" s="5">
        <v>-0.17141685932895673</v>
      </c>
      <c r="AM33" s="5">
        <v>0.9005959834362052</v>
      </c>
      <c r="AN33" s="5">
        <v>-0.19933196413336726</v>
      </c>
      <c r="AO33" s="5">
        <v>0.7421030822352418</v>
      </c>
      <c r="AP33" s="1"/>
    </row>
    <row r="34" spans="1:4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3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3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" t="s">
        <v>1</v>
      </c>
      <c r="AB36" s="3">
        <v>0</v>
      </c>
      <c r="AC36" s="3">
        <v>1</v>
      </c>
      <c r="AD36" s="3">
        <v>2</v>
      </c>
      <c r="AE36" s="3">
        <v>3</v>
      </c>
      <c r="AF36" s="3">
        <v>4</v>
      </c>
      <c r="AG36" s="3">
        <v>5</v>
      </c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"/>
      <c r="B37" s="1"/>
      <c r="C37" s="1"/>
      <c r="D37" s="1"/>
      <c r="E37" s="1"/>
      <c r="F37" s="1"/>
      <c r="G37" s="1"/>
      <c r="H37" s="1"/>
      <c r="I37" s="3"/>
      <c r="J37" s="3"/>
      <c r="K37" s="3"/>
      <c r="L37" s="3" t="s">
        <v>3</v>
      </c>
      <c r="M37" s="3"/>
      <c r="N37" s="1"/>
      <c r="O37" s="3" t="s">
        <v>4</v>
      </c>
      <c r="P37" s="3"/>
      <c r="Q37" s="3"/>
      <c r="R37" s="3"/>
      <c r="S37" s="3"/>
      <c r="T37" s="3"/>
      <c r="U37" s="1"/>
      <c r="V37" s="1"/>
      <c r="W37" s="3"/>
      <c r="X37" s="1"/>
      <c r="Y37" s="3"/>
      <c r="Z37" s="1"/>
      <c r="AA37" s="1"/>
      <c r="AB37" s="3" t="s">
        <v>4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"/>
      <c r="B38" s="1"/>
      <c r="C38" s="1"/>
      <c r="D38" s="1"/>
      <c r="E38" s="1"/>
      <c r="F38" s="1"/>
      <c r="G38" s="1"/>
      <c r="H38" s="3">
        <v>1</v>
      </c>
      <c r="I38" s="3">
        <v>-1</v>
      </c>
      <c r="J38" s="3">
        <v>0</v>
      </c>
      <c r="K38" s="3">
        <v>1</v>
      </c>
      <c r="L38" s="3">
        <v>1</v>
      </c>
      <c r="M38" s="3" t="s">
        <v>5</v>
      </c>
      <c r="N38" s="1"/>
      <c r="O38" s="3">
        <f>MMULT(H38:L40,O6:T10)</f>
        <v>0</v>
      </c>
      <c r="P38" s="3">
        <v>7</v>
      </c>
      <c r="Q38" s="3">
        <v>1</v>
      </c>
      <c r="R38" s="3">
        <v>6</v>
      </c>
      <c r="S38" s="3">
        <v>-1</v>
      </c>
      <c r="T38" s="3">
        <v>4</v>
      </c>
      <c r="U38" s="1"/>
      <c r="V38" s="1"/>
      <c r="W38" s="3"/>
      <c r="X38" s="3"/>
      <c r="Y38" s="3"/>
      <c r="Z38" s="1"/>
      <c r="AA38" s="3"/>
      <c r="AB38" s="3" cm="1">
        <f t="array" ref="AB38">_xlfn.ANCHORARRAY(O38)</f>
        <v>0</v>
      </c>
      <c r="AC38" s="3">
        <v>7</v>
      </c>
      <c r="AD38" s="3">
        <v>1</v>
      </c>
      <c r="AE38" s="3">
        <v>6</v>
      </c>
      <c r="AF38" s="3">
        <v>-1</v>
      </c>
      <c r="AG38" s="3">
        <v>4</v>
      </c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/>
      <c r="B39" s="1"/>
      <c r="C39" s="1"/>
      <c r="D39" s="1"/>
      <c r="E39" s="1"/>
      <c r="F39" s="1"/>
      <c r="G39" s="1"/>
      <c r="H39" s="3">
        <v>0</v>
      </c>
      <c r="I39" s="3">
        <v>1</v>
      </c>
      <c r="J39" s="3">
        <v>-1</v>
      </c>
      <c r="K39" s="3">
        <v>1</v>
      </c>
      <c r="L39" s="3">
        <v>-1</v>
      </c>
      <c r="M39" s="3" t="s">
        <v>5</v>
      </c>
      <c r="N39" s="1"/>
      <c r="O39" s="3">
        <v>2</v>
      </c>
      <c r="P39" s="3">
        <v>-2</v>
      </c>
      <c r="Q39" s="3">
        <v>2</v>
      </c>
      <c r="R39" s="3">
        <v>2</v>
      </c>
      <c r="S39" s="3">
        <v>2</v>
      </c>
      <c r="T39" s="3">
        <v>-3</v>
      </c>
      <c r="U39" s="1"/>
      <c r="V39" s="1"/>
      <c r="W39" s="3"/>
      <c r="X39" s="3"/>
      <c r="Y39" s="3"/>
      <c r="Z39" s="1"/>
      <c r="AA39" s="3"/>
      <c r="AB39" s="3">
        <v>2</v>
      </c>
      <c r="AC39" s="3">
        <v>-2</v>
      </c>
      <c r="AD39" s="3">
        <v>2</v>
      </c>
      <c r="AE39" s="3">
        <v>2</v>
      </c>
      <c r="AF39" s="3">
        <v>2</v>
      </c>
      <c r="AG39" s="3">
        <v>-3</v>
      </c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/>
      <c r="B40" s="1"/>
      <c r="C40" s="1"/>
      <c r="D40" s="1"/>
      <c r="E40" s="1"/>
      <c r="F40" s="1"/>
      <c r="G40" s="1"/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 t="s">
        <v>5</v>
      </c>
      <c r="N40" s="1"/>
      <c r="O40" s="3">
        <v>5</v>
      </c>
      <c r="P40" s="3">
        <v>3</v>
      </c>
      <c r="Q40" s="3">
        <v>3</v>
      </c>
      <c r="R40" s="3">
        <v>5</v>
      </c>
      <c r="S40" s="3">
        <v>3</v>
      </c>
      <c r="T40" s="3">
        <v>3</v>
      </c>
      <c r="U40" s="1"/>
      <c r="V40" s="1"/>
      <c r="W40" s="3"/>
      <c r="X40" s="3"/>
      <c r="Y40" s="3"/>
      <c r="Z40" s="1"/>
      <c r="AA40" s="3"/>
      <c r="AB40" s="3">
        <v>5</v>
      </c>
      <c r="AC40" s="3">
        <v>3</v>
      </c>
      <c r="AD40" s="3">
        <v>3</v>
      </c>
      <c r="AE40" s="3">
        <v>5</v>
      </c>
      <c r="AF40" s="3">
        <v>3</v>
      </c>
      <c r="AG40" s="3">
        <v>3</v>
      </c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"/>
      <c r="B41" s="1"/>
      <c r="C41" s="1"/>
      <c r="D41" s="1"/>
      <c r="E41" s="1"/>
      <c r="F41" s="1"/>
      <c r="G41" s="1"/>
      <c r="H41" s="1"/>
      <c r="I41" s="3"/>
      <c r="J41" s="3"/>
      <c r="K41" s="3"/>
      <c r="L41" s="3" t="s">
        <v>6</v>
      </c>
      <c r="M41" s="3"/>
      <c r="N41" s="1"/>
      <c r="O41" s="3" t="s">
        <v>7</v>
      </c>
      <c r="P41" s="3"/>
      <c r="Q41" s="3"/>
      <c r="R41" s="3"/>
      <c r="S41" s="3"/>
      <c r="T41" s="3"/>
      <c r="U41" s="1"/>
      <c r="V41" s="1"/>
      <c r="W41" s="3"/>
      <c r="X41" s="3"/>
      <c r="Y41" s="3"/>
      <c r="Z41" s="1"/>
      <c r="AA41" s="3"/>
      <c r="AB41" s="3"/>
      <c r="AC41" s="3"/>
      <c r="AD41" s="3"/>
      <c r="AE41" s="3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"/>
      <c r="B42" s="1"/>
      <c r="C42" s="1"/>
      <c r="D42" s="1"/>
      <c r="E42" s="1"/>
      <c r="F42" s="1"/>
      <c r="G42" s="1"/>
      <c r="H42" s="3">
        <v>1</v>
      </c>
      <c r="I42" s="3">
        <v>0</v>
      </c>
      <c r="J42" s="3">
        <v>1</v>
      </c>
      <c r="K42" s="3">
        <v>-1</v>
      </c>
      <c r="L42" s="3">
        <v>1</v>
      </c>
      <c r="M42" s="3" t="s">
        <v>5</v>
      </c>
      <c r="N42" s="1"/>
      <c r="O42" s="3">
        <f>MMULT(H42:L44,O6:T10)</f>
        <v>0</v>
      </c>
      <c r="P42" s="3">
        <v>5</v>
      </c>
      <c r="Q42" s="3">
        <v>1</v>
      </c>
      <c r="R42" s="3">
        <v>3</v>
      </c>
      <c r="S42" s="3">
        <v>1</v>
      </c>
      <c r="T42" s="3">
        <v>6</v>
      </c>
      <c r="U42" s="1"/>
      <c r="V42" s="1"/>
      <c r="W42" s="3"/>
      <c r="X42" s="3"/>
      <c r="Y42" s="3"/>
      <c r="Z42" s="1"/>
      <c r="AA42" s="3"/>
      <c r="AB42" s="4" t="s">
        <v>8</v>
      </c>
      <c r="AC42" s="3"/>
      <c r="AD42" s="3"/>
      <c r="AE42" s="3"/>
      <c r="AF42" s="1"/>
      <c r="AG42" s="1"/>
      <c r="AH42" s="1"/>
      <c r="AI42" s="3" t="s">
        <v>9</v>
      </c>
      <c r="AJ42" s="3"/>
      <c r="AK42" s="3"/>
      <c r="AL42" s="3"/>
      <c r="AM42" s="3"/>
      <c r="AN42" s="3"/>
      <c r="AO42" s="3"/>
      <c r="AP42" s="1"/>
    </row>
    <row r="43" spans="1:42">
      <c r="A43" s="1"/>
      <c r="B43" s="1"/>
      <c r="C43" s="1"/>
      <c r="D43" s="1"/>
      <c r="E43" s="1"/>
      <c r="F43" s="1"/>
      <c r="G43" s="1"/>
      <c r="H43" s="3">
        <v>1</v>
      </c>
      <c r="I43" s="3">
        <v>0</v>
      </c>
      <c r="J43" s="3">
        <v>0</v>
      </c>
      <c r="K43" s="3">
        <v>1</v>
      </c>
      <c r="L43" s="3">
        <v>0</v>
      </c>
      <c r="M43" s="3" t="s">
        <v>5</v>
      </c>
      <c r="N43" s="1"/>
      <c r="O43" s="3">
        <v>6</v>
      </c>
      <c r="P43" s="3">
        <v>4</v>
      </c>
      <c r="Q43" s="3">
        <v>2</v>
      </c>
      <c r="R43" s="3">
        <v>6</v>
      </c>
      <c r="S43" s="3">
        <v>1</v>
      </c>
      <c r="T43" s="3">
        <v>3</v>
      </c>
      <c r="U43" s="1"/>
      <c r="V43" s="1"/>
      <c r="W43" s="3"/>
      <c r="X43" s="3" t="s">
        <v>10</v>
      </c>
      <c r="Y43" s="3"/>
      <c r="Z43" s="1"/>
      <c r="AA43" s="3"/>
      <c r="AB43" s="3" t="s">
        <v>2</v>
      </c>
      <c r="AC43" s="3" t="s">
        <v>2</v>
      </c>
      <c r="AD43" s="3" t="s">
        <v>2</v>
      </c>
      <c r="AE43" s="3" t="s">
        <v>2</v>
      </c>
      <c r="AF43" s="3" t="s">
        <v>2</v>
      </c>
      <c r="AG43" s="3" t="s">
        <v>2</v>
      </c>
      <c r="AH43" s="1"/>
      <c r="AI43" s="3"/>
      <c r="AJ43" s="3">
        <v>0</v>
      </c>
      <c r="AK43" s="3">
        <v>1</v>
      </c>
      <c r="AL43" s="3">
        <v>2</v>
      </c>
      <c r="AM43" s="3">
        <v>3</v>
      </c>
      <c r="AN43" s="3">
        <v>4</v>
      </c>
      <c r="AO43" s="3">
        <v>5</v>
      </c>
      <c r="AP43" s="1"/>
    </row>
    <row r="44" spans="1:42">
      <c r="A44" s="1"/>
      <c r="B44" s="1"/>
      <c r="C44" s="1"/>
      <c r="D44" s="1"/>
      <c r="E44" s="1"/>
      <c r="F44" s="1"/>
      <c r="G44" s="1"/>
      <c r="H44" s="3">
        <v>1</v>
      </c>
      <c r="I44" s="3">
        <v>1</v>
      </c>
      <c r="J44" s="3">
        <v>0</v>
      </c>
      <c r="K44" s="3">
        <v>1</v>
      </c>
      <c r="L44" s="3">
        <v>1</v>
      </c>
      <c r="M44" s="3" t="s">
        <v>5</v>
      </c>
      <c r="N44" s="1"/>
      <c r="O44" s="3">
        <v>10</v>
      </c>
      <c r="P44" s="3">
        <v>7</v>
      </c>
      <c r="Q44" s="3">
        <v>7</v>
      </c>
      <c r="R44" s="3">
        <v>10</v>
      </c>
      <c r="S44" s="3">
        <v>5</v>
      </c>
      <c r="T44" s="3">
        <v>6</v>
      </c>
      <c r="U44" s="1"/>
      <c r="V44" s="1"/>
      <c r="W44" s="3">
        <v>0</v>
      </c>
      <c r="X44" s="3" cm="1">
        <f t="array" ref="X44">TRANSPOSE(_xlfn.ANCHORARRAY(O42))</f>
        <v>0</v>
      </c>
      <c r="Y44" s="3">
        <v>6</v>
      </c>
      <c r="Z44" s="3">
        <v>10</v>
      </c>
      <c r="AA44" s="3" t="s">
        <v>5</v>
      </c>
      <c r="AB44" s="3" cm="1">
        <f t="array" ref="AB44">MMULT(_xlfn.ANCHORARRAY(X44),_xlfn.ANCHORARRAY(AB38)) / SQRT(3)</f>
        <v>0</v>
      </c>
      <c r="AC44" s="3">
        <v>22.516660498395407</v>
      </c>
      <c r="AD44" s="3">
        <v>25.98076211353316</v>
      </c>
      <c r="AE44" s="3">
        <v>46.188021535170066</v>
      </c>
      <c r="AF44" s="3">
        <v>22.516660498395407</v>
      </c>
      <c r="AG44" s="3">
        <v>13.85640646055102</v>
      </c>
      <c r="AH44" s="1"/>
      <c r="AI44" s="3">
        <v>0</v>
      </c>
      <c r="AJ44" s="3">
        <f>SOFTMAX(AB44:AB49)</f>
        <v>0</v>
      </c>
      <c r="AK44" s="3">
        <f>SOFTMAX(AC44:AC49)</f>
        <v>0</v>
      </c>
      <c r="AL44" s="3">
        <f>SOFTMAX(AD44:AD49)</f>
        <v>0</v>
      </c>
      <c r="AM44" s="3">
        <f>SOFTMAX(AE44:AE49)</f>
        <v>0</v>
      </c>
      <c r="AN44" s="3">
        <f>SOFTMAX(AF44:AF49)</f>
        <v>0</v>
      </c>
      <c r="AO44" s="3">
        <f>SOFTMAX(AG44:AG49)</f>
        <v>0</v>
      </c>
      <c r="AP44" s="1"/>
    </row>
    <row r="45" spans="1:42">
      <c r="A45" s="1"/>
      <c r="B45" s="1"/>
      <c r="C45" s="1"/>
      <c r="D45" s="1"/>
      <c r="E45" s="1"/>
      <c r="F45" s="1"/>
      <c r="G45" s="1"/>
      <c r="H45" s="1"/>
      <c r="I45" s="3"/>
      <c r="J45" s="3"/>
      <c r="K45" s="3"/>
      <c r="L45" s="4" t="s">
        <v>11</v>
      </c>
      <c r="M45" s="3"/>
      <c r="N45" s="1"/>
      <c r="O45" s="3" t="s">
        <v>12</v>
      </c>
      <c r="P45" s="3"/>
      <c r="Q45" s="3"/>
      <c r="R45" s="3"/>
      <c r="S45" s="3"/>
      <c r="T45" s="3"/>
      <c r="U45" s="1"/>
      <c r="V45" s="1"/>
      <c r="W45" s="3">
        <v>1</v>
      </c>
      <c r="X45" s="3">
        <v>5</v>
      </c>
      <c r="Y45" s="3">
        <v>4</v>
      </c>
      <c r="Z45" s="3">
        <v>7</v>
      </c>
      <c r="AA45" s="3" t="s">
        <v>5</v>
      </c>
      <c r="AB45" s="3">
        <v>42.146569650842686</v>
      </c>
      <c r="AC45" s="3">
        <v>27.71281292110204</v>
      </c>
      <c r="AD45" s="3">
        <v>19.629909152447276</v>
      </c>
      <c r="AE45" s="3">
        <v>42.146569650842686</v>
      </c>
      <c r="AF45" s="3">
        <v>13.85640646055102</v>
      </c>
      <c r="AG45" s="3">
        <v>16.74315780649915</v>
      </c>
      <c r="AH45" s="1"/>
      <c r="AI45" s="3">
        <v>1</v>
      </c>
      <c r="AJ45" s="3">
        <v>0.008667073439864776</v>
      </c>
      <c r="AK45" s="3">
        <v>0.030340890012592586</v>
      </c>
      <c r="AL45" s="3">
        <v>0.0008717850510207497</v>
      </c>
      <c r="AM45" s="3">
        <v>0.008667073439864776</v>
      </c>
      <c r="AN45" s="3">
        <v>0.00008665480322408139</v>
      </c>
      <c r="AO45" s="3">
        <v>0.0894169205788885</v>
      </c>
      <c r="AP45" s="1"/>
    </row>
    <row r="46" spans="1:42">
      <c r="A46" s="1"/>
      <c r="B46" s="1"/>
      <c r="C46" s="1"/>
      <c r="D46" s="1"/>
      <c r="E46" s="1"/>
      <c r="F46" s="1"/>
      <c r="G46" s="1"/>
      <c r="H46" s="3">
        <v>1</v>
      </c>
      <c r="I46" s="3">
        <v>0</v>
      </c>
      <c r="J46" s="3">
        <v>-1</v>
      </c>
      <c r="K46" s="3">
        <v>0</v>
      </c>
      <c r="L46" s="3">
        <v>-1</v>
      </c>
      <c r="M46" s="3" t="s">
        <v>5</v>
      </c>
      <c r="N46" s="1"/>
      <c r="O46" s="3">
        <f>MMULT(H46:L48,O6:T10)</f>
        <v>0</v>
      </c>
      <c r="P46" s="3">
        <v>0</v>
      </c>
      <c r="Q46" s="3">
        <v>-3</v>
      </c>
      <c r="R46" s="3">
        <v>0</v>
      </c>
      <c r="S46" s="3">
        <v>-2</v>
      </c>
      <c r="T46" s="3">
        <v>-3</v>
      </c>
      <c r="U46" s="1"/>
      <c r="V46" s="1"/>
      <c r="W46" s="3">
        <v>2</v>
      </c>
      <c r="X46" s="3">
        <v>1</v>
      </c>
      <c r="Y46" s="3">
        <v>2</v>
      </c>
      <c r="Z46" s="3">
        <v>7</v>
      </c>
      <c r="AA46" s="3" t="s">
        <v>5</v>
      </c>
      <c r="AB46" s="3">
        <v>25.98076211353316</v>
      </c>
      <c r="AC46" s="3">
        <v>13.85640646055102</v>
      </c>
      <c r="AD46" s="3">
        <v>15.01110699893027</v>
      </c>
      <c r="AE46" s="3">
        <v>25.98076211353316</v>
      </c>
      <c r="AF46" s="3">
        <v>13.85640646055102</v>
      </c>
      <c r="AG46" s="3">
        <v>10.96965511460289</v>
      </c>
      <c r="AH46" s="1"/>
      <c r="AI46" s="3">
        <v>2</v>
      </c>
      <c r="AJ46" s="3">
        <v>0.0000000008263260945947704</v>
      </c>
      <c r="AK46" s="3">
        <v>0.00000002912510175258355</v>
      </c>
      <c r="AL46" s="3">
        <v>0.000008599815408339937</v>
      </c>
      <c r="AM46" s="3">
        <v>0.0000000008263260945947704</v>
      </c>
      <c r="AN46" s="3">
        <v>0.00008665480322408139</v>
      </c>
      <c r="AO46" s="3">
        <v>0.0002779837113135148</v>
      </c>
      <c r="AP46" s="1"/>
    </row>
    <row r="47" spans="1:42">
      <c r="A47" s="1"/>
      <c r="B47" s="1"/>
      <c r="C47" s="1"/>
      <c r="D47" s="1"/>
      <c r="E47" s="1"/>
      <c r="F47" s="1"/>
      <c r="G47" s="1"/>
      <c r="H47" s="3">
        <v>0</v>
      </c>
      <c r="I47" s="3">
        <v>1</v>
      </c>
      <c r="J47" s="3">
        <v>0</v>
      </c>
      <c r="K47" s="3">
        <v>0</v>
      </c>
      <c r="L47" s="3">
        <v>0</v>
      </c>
      <c r="M47" s="3" t="s">
        <v>5</v>
      </c>
      <c r="N47" s="1"/>
      <c r="O47" s="3">
        <v>2</v>
      </c>
      <c r="P47" s="3">
        <v>0</v>
      </c>
      <c r="Q47" s="3">
        <v>3</v>
      </c>
      <c r="R47" s="3">
        <v>2</v>
      </c>
      <c r="S47" s="3">
        <v>3</v>
      </c>
      <c r="T47" s="3">
        <v>1</v>
      </c>
      <c r="U47" s="1"/>
      <c r="V47" s="1"/>
      <c r="W47" s="3">
        <v>3</v>
      </c>
      <c r="X47" s="3">
        <v>3</v>
      </c>
      <c r="Y47" s="3">
        <v>6</v>
      </c>
      <c r="Z47" s="3">
        <v>10</v>
      </c>
      <c r="AA47" s="3" t="s">
        <v>5</v>
      </c>
      <c r="AB47" s="3">
        <v>46.188021535170066</v>
      </c>
      <c r="AC47" s="3">
        <v>22.516660498395407</v>
      </c>
      <c r="AD47" s="3">
        <v>25.98076211353316</v>
      </c>
      <c r="AE47" s="3">
        <v>46.188021535170066</v>
      </c>
      <c r="AF47" s="3">
        <v>22.516660498395407</v>
      </c>
      <c r="AG47" s="3">
        <v>13.85640646055102</v>
      </c>
      <c r="AH47" s="1"/>
      <c r="AI47" s="3">
        <v>3</v>
      </c>
      <c r="AJ47" s="3">
        <v>0.49323368506207277</v>
      </c>
      <c r="AK47" s="3">
        <v>0.0001680227126134356</v>
      </c>
      <c r="AL47" s="3">
        <v>0.4995164719907497</v>
      </c>
      <c r="AM47" s="3">
        <v>0.49323368506207277</v>
      </c>
      <c r="AN47" s="3">
        <v>0.4999115615931572</v>
      </c>
      <c r="AO47" s="3">
        <v>0.004985624076958192</v>
      </c>
      <c r="AP47" s="1"/>
    </row>
    <row r="48" spans="1:42">
      <c r="A48" s="1"/>
      <c r="B48" s="1"/>
      <c r="C48" s="1"/>
      <c r="D48" s="1"/>
      <c r="E48" s="1"/>
      <c r="F48" s="1"/>
      <c r="G48" s="1"/>
      <c r="H48" s="3">
        <v>0</v>
      </c>
      <c r="I48" s="3">
        <v>1</v>
      </c>
      <c r="J48" s="3">
        <v>1</v>
      </c>
      <c r="K48" s="3">
        <v>0</v>
      </c>
      <c r="L48" s="3">
        <v>0</v>
      </c>
      <c r="M48" s="3" t="s">
        <v>5</v>
      </c>
      <c r="N48" s="1"/>
      <c r="O48" s="3">
        <v>3</v>
      </c>
      <c r="P48" s="3">
        <v>0</v>
      </c>
      <c r="Q48" s="3">
        <v>4</v>
      </c>
      <c r="R48" s="3">
        <v>3</v>
      </c>
      <c r="S48" s="3">
        <v>4</v>
      </c>
      <c r="T48" s="3">
        <v>4</v>
      </c>
      <c r="U48" s="1"/>
      <c r="V48" s="1"/>
      <c r="W48" s="3">
        <v>4</v>
      </c>
      <c r="X48" s="3">
        <v>1</v>
      </c>
      <c r="Y48" s="3">
        <v>1</v>
      </c>
      <c r="Z48" s="3">
        <v>5</v>
      </c>
      <c r="AA48" s="3" t="s">
        <v>5</v>
      </c>
      <c r="AB48" s="3">
        <v>19.05255888325765</v>
      </c>
      <c r="AC48" s="3">
        <v>11.547005383792516</v>
      </c>
      <c r="AD48" s="3">
        <v>10.392304845413264</v>
      </c>
      <c r="AE48" s="3">
        <v>19.05255888325765</v>
      </c>
      <c r="AF48" s="3">
        <v>9.237604307034013</v>
      </c>
      <c r="AG48" s="3">
        <v>9.237604307034013</v>
      </c>
      <c r="AH48" s="1"/>
      <c r="AI48" s="3">
        <v>4</v>
      </c>
      <c r="AJ48" s="3">
        <v>0.0000000000008096009985865685</v>
      </c>
      <c r="AK48" s="3">
        <v>0.000000002892726053908499</v>
      </c>
      <c r="AL48" s="3">
        <v>0.00000008483378439550773</v>
      </c>
      <c r="AM48" s="3">
        <v>0.0000000000008096009985865685</v>
      </c>
      <c r="AN48" s="3">
        <v>0.0000008548154285285894</v>
      </c>
      <c r="AO48" s="3">
        <v>0.00004918121354227618</v>
      </c>
      <c r="AP48" s="1"/>
    </row>
    <row r="49" spans="1:4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3">
        <v>5</v>
      </c>
      <c r="X49" s="3">
        <v>6</v>
      </c>
      <c r="Y49" s="3">
        <v>3</v>
      </c>
      <c r="Z49" s="3">
        <v>6</v>
      </c>
      <c r="AA49" s="3" t="s">
        <v>5</v>
      </c>
      <c r="AB49" s="3">
        <v>41.569219381653056</v>
      </c>
      <c r="AC49" s="3">
        <v>31.176914536239792</v>
      </c>
      <c r="AD49" s="3">
        <v>17.320508075688775</v>
      </c>
      <c r="AE49" s="3">
        <v>41.569219381653056</v>
      </c>
      <c r="AF49" s="3">
        <v>10.392304845413264</v>
      </c>
      <c r="AG49" s="3">
        <v>19.05255888325765</v>
      </c>
      <c r="AH49" s="1"/>
      <c r="AI49" s="3">
        <v>5</v>
      </c>
      <c r="AJ49" s="3">
        <v>0.004865555608854008</v>
      </c>
      <c r="AK49" s="3">
        <v>0.9693230325443527</v>
      </c>
      <c r="AL49" s="3">
        <v>0.00008658631828717913</v>
      </c>
      <c r="AM49" s="3">
        <v>0.004865555608854008</v>
      </c>
      <c r="AN49" s="3">
        <v>0.0000027123918089343455</v>
      </c>
      <c r="AO49" s="3">
        <v>0.9002846663423394</v>
      </c>
      <c r="AP49" s="1"/>
    </row>
    <row r="50" spans="1:4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 t="s">
        <v>12</v>
      </c>
      <c r="AC51" s="3"/>
      <c r="AD51" s="3"/>
      <c r="AE51" s="1"/>
      <c r="AF51" s="3"/>
      <c r="AG51" s="3"/>
      <c r="AH51" s="1"/>
      <c r="AI51" s="3" t="s">
        <v>13</v>
      </c>
      <c r="AJ51" s="3" t="s">
        <v>2</v>
      </c>
      <c r="AK51" s="3" t="s">
        <v>2</v>
      </c>
      <c r="AL51" s="3" t="s">
        <v>2</v>
      </c>
      <c r="AM51" s="3" t="s">
        <v>2</v>
      </c>
      <c r="AN51" s="3" t="s">
        <v>2</v>
      </c>
      <c r="AO51" s="3" t="s">
        <v>2</v>
      </c>
      <c r="AP51" s="1"/>
    </row>
    <row r="52" spans="1:4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 cm="1">
        <f t="array" ref="AB52">_xlfn.ANCHORARRAY(O46)</f>
        <v>0</v>
      </c>
      <c r="AC52" s="3">
        <v>0</v>
      </c>
      <c r="AD52" s="3">
        <v>-3</v>
      </c>
      <c r="AE52" s="3">
        <v>0</v>
      </c>
      <c r="AF52" s="3">
        <v>-2</v>
      </c>
      <c r="AG52" s="3">
        <v>-3</v>
      </c>
      <c r="AH52" s="1"/>
      <c r="AI52" s="3" t="s">
        <v>5</v>
      </c>
      <c r="AJ52" s="5" cm="1">
        <f t="array" ref="AJ52">MMULT(_xlfn.ANCHORARRAY(AB52),AJ44:AO49)</f>
        <v>0</v>
      </c>
      <c r="AK52" s="5">
        <v>-2.9079691907938154</v>
      </c>
      <c r="AL52" s="5">
        <v>-0.00028572806865534824</v>
      </c>
      <c r="AM52" s="5">
        <v>-0.01459666930715951</v>
      </c>
      <c r="AN52" s="5">
        <v>-0.00026981121595610435</v>
      </c>
      <c r="AO52" s="5">
        <v>-2.7017863125880432</v>
      </c>
      <c r="AP52" s="1"/>
    </row>
    <row r="53" spans="1:4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>
        <v>2</v>
      </c>
      <c r="AC53" s="3">
        <v>0</v>
      </c>
      <c r="AD53" s="3">
        <v>3</v>
      </c>
      <c r="AE53" s="3">
        <v>2</v>
      </c>
      <c r="AF53" s="3">
        <v>3</v>
      </c>
      <c r="AG53" s="3">
        <v>1</v>
      </c>
      <c r="AH53" s="1"/>
      <c r="AI53" s="3" t="s">
        <v>5</v>
      </c>
      <c r="AJ53" s="5">
        <v>1.977800298338552</v>
      </c>
      <c r="AK53" s="5">
        <v>0.9699952194482898</v>
      </c>
      <c r="AL53" s="5">
        <v>1.9981785282288642</v>
      </c>
      <c r="AM53" s="5">
        <v>1.977800298338552</v>
      </c>
      <c r="AN53" s="5">
        <v>1.9999114876203956</v>
      </c>
      <c r="AO53" s="5">
        <v>0.9212086574247396</v>
      </c>
      <c r="AP53" s="1"/>
    </row>
    <row r="54" spans="1:4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>
        <v>3</v>
      </c>
      <c r="AC54" s="3">
        <v>0</v>
      </c>
      <c r="AD54" s="3">
        <v>4</v>
      </c>
      <c r="AE54" s="3">
        <v>3</v>
      </c>
      <c r="AF54" s="3">
        <v>4</v>
      </c>
      <c r="AG54" s="3">
        <v>4</v>
      </c>
      <c r="AH54" s="1"/>
      <c r="AI54" s="3" t="s">
        <v>5</v>
      </c>
      <c r="AJ54" s="5">
        <v>2.9788643361163953</v>
      </c>
      <c r="AK54" s="5">
        <v>3.878300394524403</v>
      </c>
      <c r="AL54" s="5">
        <v>2.9974799158144183</v>
      </c>
      <c r="AM54" s="5">
        <v>2.9788643361163953</v>
      </c>
      <c r="AN54" s="5">
        <v>2.9998302576007894</v>
      </c>
      <c r="AO54" s="5">
        <v>3.6323610695305297</v>
      </c>
      <c r="AP54" s="1"/>
    </row>
    <row r="55" spans="1:4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" t="s">
        <v>1</v>
      </c>
      <c r="AB57" s="3">
        <v>0</v>
      </c>
      <c r="AC57" s="3">
        <v>1</v>
      </c>
      <c r="AD57" s="3">
        <v>2</v>
      </c>
      <c r="AE57" s="3">
        <v>3</v>
      </c>
      <c r="AF57" s="3">
        <v>4</v>
      </c>
      <c r="AG57" s="3">
        <v>5</v>
      </c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 t="s">
        <v>3</v>
      </c>
      <c r="M58" s="3"/>
      <c r="N58" s="1"/>
      <c r="O58" s="3" t="s">
        <v>4</v>
      </c>
      <c r="P58" s="3"/>
      <c r="Q58" s="3"/>
      <c r="R58" s="3"/>
      <c r="S58" s="3"/>
      <c r="T58" s="3"/>
      <c r="U58" s="1"/>
      <c r="V58" s="1"/>
      <c r="W58" s="3"/>
      <c r="X58" s="1"/>
      <c r="Y58" s="3"/>
      <c r="Z58" s="1"/>
      <c r="AA58" s="1"/>
      <c r="AB58" s="3" t="s">
        <v>4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"/>
      <c r="B59" s="1"/>
      <c r="C59" s="1"/>
      <c r="D59" s="1"/>
      <c r="E59" s="1"/>
      <c r="F59" s="1"/>
      <c r="G59" s="1"/>
      <c r="H59" s="3">
        <v>0</v>
      </c>
      <c r="I59" s="3">
        <v>-1</v>
      </c>
      <c r="J59" s="3">
        <v>0</v>
      </c>
      <c r="K59" s="3">
        <v>0</v>
      </c>
      <c r="L59" s="3">
        <v>0</v>
      </c>
      <c r="M59" s="3" t="s">
        <v>5</v>
      </c>
      <c r="N59" s="1"/>
      <c r="O59" s="3">
        <f>MMULT(H59:L61,O6:T10)</f>
        <v>0</v>
      </c>
      <c r="P59" s="3">
        <v>0</v>
      </c>
      <c r="Q59" s="3">
        <v>-3</v>
      </c>
      <c r="R59" s="3">
        <v>-2</v>
      </c>
      <c r="S59" s="3">
        <v>-3</v>
      </c>
      <c r="T59" s="3">
        <v>-1</v>
      </c>
      <c r="U59" s="1"/>
      <c r="V59" s="1"/>
      <c r="W59" s="3"/>
      <c r="X59" s="3"/>
      <c r="Y59" s="3"/>
      <c r="Z59" s="1"/>
      <c r="AA59" s="3"/>
      <c r="AB59" s="3" cm="1">
        <f t="array" ref="AB59">_xlfn.ANCHORARRAY(O59)</f>
        <v>0</v>
      </c>
      <c r="AC59" s="3">
        <v>0</v>
      </c>
      <c r="AD59" s="3">
        <v>-3</v>
      </c>
      <c r="AE59" s="3">
        <v>-2</v>
      </c>
      <c r="AF59" s="3">
        <v>-3</v>
      </c>
      <c r="AG59" s="3">
        <v>-1</v>
      </c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"/>
      <c r="B60" s="1"/>
      <c r="C60" s="1"/>
      <c r="D60" s="1"/>
      <c r="E60" s="1"/>
      <c r="F60" s="1"/>
      <c r="G60" s="1"/>
      <c r="H60" s="3">
        <v>0</v>
      </c>
      <c r="I60" s="3">
        <v>1</v>
      </c>
      <c r="J60" s="3">
        <v>1</v>
      </c>
      <c r="K60" s="3">
        <v>1</v>
      </c>
      <c r="L60" s="3">
        <v>0</v>
      </c>
      <c r="M60" s="3" t="s">
        <v>5</v>
      </c>
      <c r="N60" s="1"/>
      <c r="O60" s="3">
        <v>6</v>
      </c>
      <c r="P60" s="3">
        <v>1</v>
      </c>
      <c r="Q60" s="3">
        <v>6</v>
      </c>
      <c r="R60" s="3">
        <v>6</v>
      </c>
      <c r="S60" s="3">
        <v>5</v>
      </c>
      <c r="T60" s="3">
        <v>5</v>
      </c>
      <c r="U60" s="1"/>
      <c r="V60" s="1"/>
      <c r="W60" s="3"/>
      <c r="X60" s="3"/>
      <c r="Y60" s="3"/>
      <c r="Z60" s="1"/>
      <c r="AA60" s="3"/>
      <c r="AB60" s="3">
        <v>6</v>
      </c>
      <c r="AC60" s="3">
        <v>1</v>
      </c>
      <c r="AD60" s="3">
        <v>6</v>
      </c>
      <c r="AE60" s="3">
        <v>6</v>
      </c>
      <c r="AF60" s="3">
        <v>5</v>
      </c>
      <c r="AG60" s="3">
        <v>5</v>
      </c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"/>
      <c r="B61" s="1"/>
      <c r="C61" s="1"/>
      <c r="D61" s="1"/>
      <c r="E61" s="1"/>
      <c r="F61" s="1"/>
      <c r="G61" s="1"/>
      <c r="H61" s="3">
        <v>-1</v>
      </c>
      <c r="I61" s="3">
        <v>0</v>
      </c>
      <c r="J61" s="3">
        <v>-1</v>
      </c>
      <c r="K61" s="3">
        <v>0</v>
      </c>
      <c r="L61" s="3">
        <v>1</v>
      </c>
      <c r="M61" s="3" t="s">
        <v>5</v>
      </c>
      <c r="N61" s="1"/>
      <c r="O61" s="3">
        <v>-2</v>
      </c>
      <c r="P61" s="3">
        <v>0</v>
      </c>
      <c r="Q61" s="3">
        <v>1</v>
      </c>
      <c r="R61" s="3">
        <v>-2</v>
      </c>
      <c r="S61" s="3">
        <v>0</v>
      </c>
      <c r="T61" s="3">
        <v>-3</v>
      </c>
      <c r="U61" s="1"/>
      <c r="V61" s="1"/>
      <c r="W61" s="3"/>
      <c r="X61" s="3"/>
      <c r="Y61" s="3"/>
      <c r="Z61" s="1"/>
      <c r="AA61" s="3"/>
      <c r="AB61" s="3">
        <v>-2</v>
      </c>
      <c r="AC61" s="3">
        <v>0</v>
      </c>
      <c r="AD61" s="3">
        <v>1</v>
      </c>
      <c r="AE61" s="3">
        <v>-2</v>
      </c>
      <c r="AF61" s="3">
        <v>0</v>
      </c>
      <c r="AG61" s="3">
        <v>-3</v>
      </c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 t="s">
        <v>6</v>
      </c>
      <c r="M62" s="3"/>
      <c r="N62" s="1"/>
      <c r="O62" s="3" t="s">
        <v>7</v>
      </c>
      <c r="P62" s="3"/>
      <c r="Q62" s="3"/>
      <c r="R62" s="3"/>
      <c r="S62" s="3"/>
      <c r="T62" s="3"/>
      <c r="U62" s="1"/>
      <c r="V62" s="1"/>
      <c r="W62" s="3"/>
      <c r="X62" s="3"/>
      <c r="Y62" s="3"/>
      <c r="Z62" s="1"/>
      <c r="AA62" s="3"/>
      <c r="AB62" s="3"/>
      <c r="AC62" s="3"/>
      <c r="AD62" s="3"/>
      <c r="AE62" s="3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"/>
      <c r="B63" s="1"/>
      <c r="C63" s="1"/>
      <c r="D63" s="1"/>
      <c r="E63" s="1"/>
      <c r="F63" s="1"/>
      <c r="G63" s="1"/>
      <c r="H63" s="3">
        <v>0</v>
      </c>
      <c r="I63" s="3">
        <v>1</v>
      </c>
      <c r="J63" s="3">
        <v>-1</v>
      </c>
      <c r="K63" s="3">
        <v>0</v>
      </c>
      <c r="L63" s="3">
        <v>0</v>
      </c>
      <c r="M63" s="3" t="s">
        <v>5</v>
      </c>
      <c r="N63" s="1"/>
      <c r="O63" s="3">
        <f>MMULT(H63:L65,O6:T10)</f>
        <v>0</v>
      </c>
      <c r="P63" s="3">
        <v>0</v>
      </c>
      <c r="Q63" s="3">
        <v>2</v>
      </c>
      <c r="R63" s="3">
        <v>1</v>
      </c>
      <c r="S63" s="3">
        <v>2</v>
      </c>
      <c r="T63" s="3">
        <v>-2</v>
      </c>
      <c r="U63" s="1"/>
      <c r="V63" s="1"/>
      <c r="W63" s="3"/>
      <c r="X63" s="3"/>
      <c r="Y63" s="3"/>
      <c r="Z63" s="1"/>
      <c r="AA63" s="3"/>
      <c r="AB63" s="4" t="s">
        <v>8</v>
      </c>
      <c r="AC63" s="3"/>
      <c r="AD63" s="3"/>
      <c r="AE63" s="3"/>
      <c r="AF63" s="1"/>
      <c r="AG63" s="1"/>
      <c r="AH63" s="1"/>
      <c r="AI63" s="3" t="s">
        <v>9</v>
      </c>
      <c r="AJ63" s="3"/>
      <c r="AK63" s="3"/>
      <c r="AL63" s="3"/>
      <c r="AM63" s="3"/>
      <c r="AN63" s="3"/>
      <c r="AO63" s="3"/>
      <c r="AP63" s="1"/>
    </row>
    <row r="64" spans="1:42">
      <c r="A64" s="1"/>
      <c r="B64" s="1"/>
      <c r="C64" s="1"/>
      <c r="D64" s="1"/>
      <c r="E64" s="1"/>
      <c r="F64" s="1"/>
      <c r="G64" s="1"/>
      <c r="H64" s="3">
        <v>1</v>
      </c>
      <c r="I64" s="3">
        <v>-1</v>
      </c>
      <c r="J64" s="3">
        <v>-1</v>
      </c>
      <c r="K64" s="3">
        <v>1</v>
      </c>
      <c r="L64" s="3">
        <v>-1</v>
      </c>
      <c r="M64" s="3" t="s">
        <v>5</v>
      </c>
      <c r="N64" s="1"/>
      <c r="O64" s="3">
        <v>1</v>
      </c>
      <c r="P64" s="3">
        <v>1</v>
      </c>
      <c r="Q64" s="3">
        <v>-4</v>
      </c>
      <c r="R64" s="3">
        <v>1</v>
      </c>
      <c r="S64" s="3">
        <v>-4</v>
      </c>
      <c r="T64" s="3">
        <v>-3</v>
      </c>
      <c r="U64" s="1"/>
      <c r="V64" s="1"/>
      <c r="W64" s="3"/>
      <c r="X64" s="3" t="s">
        <v>10</v>
      </c>
      <c r="Y64" s="3"/>
      <c r="Z64" s="1"/>
      <c r="AA64" s="3"/>
      <c r="AB64" s="3" t="s">
        <v>2</v>
      </c>
      <c r="AC64" s="3" t="s">
        <v>2</v>
      </c>
      <c r="AD64" s="3" t="s">
        <v>2</v>
      </c>
      <c r="AE64" s="3" t="s">
        <v>2</v>
      </c>
      <c r="AF64" s="3" t="s">
        <v>2</v>
      </c>
      <c r="AG64" s="3" t="s">
        <v>2</v>
      </c>
      <c r="AH64" s="1"/>
      <c r="AI64" s="3"/>
      <c r="AJ64" s="3">
        <v>0</v>
      </c>
      <c r="AK64" s="3">
        <v>1</v>
      </c>
      <c r="AL64" s="3">
        <v>2</v>
      </c>
      <c r="AM64" s="3">
        <v>3</v>
      </c>
      <c r="AN64" s="3">
        <v>4</v>
      </c>
      <c r="AO64" s="3">
        <v>5</v>
      </c>
      <c r="AP64" s="1"/>
    </row>
    <row r="65" spans="1:42">
      <c r="A65" s="1"/>
      <c r="B65" s="1"/>
      <c r="C65" s="1"/>
      <c r="D65" s="1"/>
      <c r="E65" s="1"/>
      <c r="F65" s="1"/>
      <c r="G65" s="1"/>
      <c r="H65" s="3">
        <v>-1</v>
      </c>
      <c r="I65" s="3">
        <v>0</v>
      </c>
      <c r="J65" s="3">
        <v>1</v>
      </c>
      <c r="K65" s="3">
        <v>1</v>
      </c>
      <c r="L65" s="3">
        <v>1</v>
      </c>
      <c r="M65" s="3" t="s">
        <v>5</v>
      </c>
      <c r="N65" s="1"/>
      <c r="O65" s="3">
        <v>3</v>
      </c>
      <c r="P65" s="3">
        <v>1</v>
      </c>
      <c r="Q65" s="3">
        <v>5</v>
      </c>
      <c r="R65" s="3">
        <v>3</v>
      </c>
      <c r="S65" s="3">
        <v>3</v>
      </c>
      <c r="T65" s="3">
        <v>4</v>
      </c>
      <c r="U65" s="1"/>
      <c r="V65" s="1"/>
      <c r="W65" s="3">
        <v>0</v>
      </c>
      <c r="X65" s="3" cm="1">
        <f t="array" ref="X65">TRANSPOSE(_xlfn.ANCHORARRAY(O63))</f>
        <v>0</v>
      </c>
      <c r="Y65" s="3">
        <v>1</v>
      </c>
      <c r="Z65" s="3">
        <v>3</v>
      </c>
      <c r="AA65" s="3" t="s">
        <v>5</v>
      </c>
      <c r="AB65" s="3" cm="1">
        <f t="array" ref="AB65">MMULT(_xlfn.ANCHORARRAY(X65),_xlfn.ANCHORARRAY(AB59)) / SQRT(3)</f>
        <v>0</v>
      </c>
      <c r="AC65" s="3">
        <v>0.5773502691896258</v>
      </c>
      <c r="AD65" s="3">
        <v>3.464101615137755</v>
      </c>
      <c r="AE65" s="3">
        <v>-1.1547005383792517</v>
      </c>
      <c r="AF65" s="3">
        <v>1.1547005383792517</v>
      </c>
      <c r="AG65" s="3">
        <v>-2.886751345948129</v>
      </c>
      <c r="AH65" s="1"/>
      <c r="AI65" s="3">
        <v>0</v>
      </c>
      <c r="AJ65" s="3">
        <f>SOFTMAX(AB65:AB70)</f>
        <v>0</v>
      </c>
      <c r="AK65" s="3">
        <f>SOFTMAX(AC65:AC70)</f>
        <v>0</v>
      </c>
      <c r="AL65" s="3">
        <f>SOFTMAX(AD65:AD70)</f>
        <v>0</v>
      </c>
      <c r="AM65" s="3">
        <f>SOFTMAX(AE65:AE70)</f>
        <v>0</v>
      </c>
      <c r="AN65" s="3">
        <f>SOFTMAX(AF65:AF70)</f>
        <v>0</v>
      </c>
      <c r="AO65" s="3">
        <f>SOFTMAX(AG65:AG70)</f>
        <v>0</v>
      </c>
      <c r="AP65" s="1"/>
    </row>
    <row r="66" spans="1:42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4" t="s">
        <v>11</v>
      </c>
      <c r="M66" s="3"/>
      <c r="N66" s="1"/>
      <c r="O66" s="3" t="s">
        <v>12</v>
      </c>
      <c r="P66" s="3"/>
      <c r="Q66" s="3"/>
      <c r="R66" s="3"/>
      <c r="S66" s="3"/>
      <c r="T66" s="3"/>
      <c r="U66" s="1"/>
      <c r="V66" s="1"/>
      <c r="W66" s="3">
        <v>1</v>
      </c>
      <c r="X66" s="3">
        <v>0</v>
      </c>
      <c r="Y66" s="3">
        <v>1</v>
      </c>
      <c r="Z66" s="3">
        <v>1</v>
      </c>
      <c r="AA66" s="3" t="s">
        <v>5</v>
      </c>
      <c r="AB66" s="3">
        <v>2.3094010767585034</v>
      </c>
      <c r="AC66" s="3">
        <v>0.5773502691896258</v>
      </c>
      <c r="AD66" s="3">
        <v>4.041451884327381</v>
      </c>
      <c r="AE66" s="3">
        <v>2.3094010767585034</v>
      </c>
      <c r="AF66" s="3">
        <v>2.886751345948129</v>
      </c>
      <c r="AG66" s="3">
        <v>1.1547005383792517</v>
      </c>
      <c r="AH66" s="1"/>
      <c r="AI66" s="3">
        <v>1</v>
      </c>
      <c r="AJ66" s="3">
        <v>0.9410856575147623</v>
      </c>
      <c r="AK66" s="3">
        <v>0.3114454818614226</v>
      </c>
      <c r="AL66" s="3">
        <v>0.47104460984185825</v>
      </c>
      <c r="AM66" s="3">
        <v>0.9410856575147623</v>
      </c>
      <c r="AN66" s="3">
        <v>0.7384699622918337</v>
      </c>
      <c r="AO66" s="3">
        <v>0.9660491136919577</v>
      </c>
      <c r="AP66" s="1"/>
    </row>
    <row r="67" spans="1:42">
      <c r="A67" s="1"/>
      <c r="B67" s="1"/>
      <c r="C67" s="1"/>
      <c r="D67" s="1"/>
      <c r="E67" s="1"/>
      <c r="F67" s="1"/>
      <c r="G67" s="1"/>
      <c r="H67" s="3">
        <v>-1</v>
      </c>
      <c r="I67" s="3">
        <v>1</v>
      </c>
      <c r="J67" s="3">
        <v>1</v>
      </c>
      <c r="K67" s="3">
        <v>0</v>
      </c>
      <c r="L67" s="3">
        <v>1</v>
      </c>
      <c r="M67" s="3" t="s">
        <v>5</v>
      </c>
      <c r="N67" s="1"/>
      <c r="O67" s="3">
        <f>MMULT(H67:L69,O6:T10)</f>
        <v>0</v>
      </c>
      <c r="P67" s="3">
        <v>0</v>
      </c>
      <c r="Q67" s="3">
        <v>6</v>
      </c>
      <c r="R67" s="3">
        <v>2</v>
      </c>
      <c r="S67" s="3">
        <v>5</v>
      </c>
      <c r="T67" s="3">
        <v>4</v>
      </c>
      <c r="U67" s="1"/>
      <c r="V67" s="1"/>
      <c r="W67" s="3">
        <v>2</v>
      </c>
      <c r="X67" s="3">
        <v>2</v>
      </c>
      <c r="Y67" s="3">
        <v>-4</v>
      </c>
      <c r="Z67" s="3">
        <v>5</v>
      </c>
      <c r="AA67" s="3" t="s">
        <v>5</v>
      </c>
      <c r="AB67" s="3">
        <v>-21.93931022920578</v>
      </c>
      <c r="AC67" s="3">
        <v>-2.3094010767585034</v>
      </c>
      <c r="AD67" s="3">
        <v>-14.433756729740645</v>
      </c>
      <c r="AE67" s="3">
        <v>-21.93931022920578</v>
      </c>
      <c r="AF67" s="3">
        <v>-15.01110699893027</v>
      </c>
      <c r="AG67" s="3">
        <v>-21.361959960016154</v>
      </c>
      <c r="AH67" s="1"/>
      <c r="AI67" s="3">
        <v>2</v>
      </c>
      <c r="AJ67" s="3">
        <v>0.000000000027704329333307093</v>
      </c>
      <c r="AK67" s="3">
        <v>0.017365282577118425</v>
      </c>
      <c r="AL67" s="3">
        <v>0.000000004460472697791295</v>
      </c>
      <c r="AM67" s="3">
        <v>0.000000000027704329333307093</v>
      </c>
      <c r="AN67" s="3">
        <v>0.000000012456376248550466</v>
      </c>
      <c r="AO67" s="3">
        <v>0.00000000016074512142157835</v>
      </c>
      <c r="AP67" s="1"/>
    </row>
    <row r="68" spans="1:42">
      <c r="A68" s="1"/>
      <c r="B68" s="1"/>
      <c r="C68" s="1"/>
      <c r="D68" s="1"/>
      <c r="E68" s="1"/>
      <c r="F68" s="1"/>
      <c r="G68" s="1"/>
      <c r="H68" s="3">
        <v>0</v>
      </c>
      <c r="I68" s="3">
        <v>1</v>
      </c>
      <c r="J68" s="3">
        <v>0</v>
      </c>
      <c r="K68" s="3">
        <v>1</v>
      </c>
      <c r="L68" s="3">
        <v>1</v>
      </c>
      <c r="M68" s="3" t="s">
        <v>5</v>
      </c>
      <c r="N68" s="1"/>
      <c r="O68" s="3">
        <v>7</v>
      </c>
      <c r="P68" s="3">
        <v>4</v>
      </c>
      <c r="Q68" s="3">
        <v>7</v>
      </c>
      <c r="R68" s="3">
        <v>7</v>
      </c>
      <c r="S68" s="3">
        <v>5</v>
      </c>
      <c r="T68" s="3">
        <v>4</v>
      </c>
      <c r="U68" s="1"/>
      <c r="V68" s="1"/>
      <c r="W68" s="3">
        <v>3</v>
      </c>
      <c r="X68" s="3">
        <v>1</v>
      </c>
      <c r="Y68" s="3">
        <v>1</v>
      </c>
      <c r="Z68" s="3">
        <v>3</v>
      </c>
      <c r="AA68" s="3" t="s">
        <v>5</v>
      </c>
      <c r="AB68" s="3">
        <v>-1.1547005383792517</v>
      </c>
      <c r="AC68" s="3">
        <v>0.5773502691896258</v>
      </c>
      <c r="AD68" s="3">
        <v>3.464101615137755</v>
      </c>
      <c r="AE68" s="3">
        <v>-1.1547005383792517</v>
      </c>
      <c r="AF68" s="3">
        <v>1.1547005383792517</v>
      </c>
      <c r="AG68" s="3">
        <v>-2.886751345948129</v>
      </c>
      <c r="AH68" s="1"/>
      <c r="AI68" s="3">
        <v>3</v>
      </c>
      <c r="AJ68" s="3">
        <v>0.029457028739051684</v>
      </c>
      <c r="AK68" s="3">
        <v>0.3114454818614226</v>
      </c>
      <c r="AL68" s="3">
        <v>0.26443686664691146</v>
      </c>
      <c r="AM68" s="3">
        <v>0.029457028739051684</v>
      </c>
      <c r="AN68" s="3">
        <v>0.13065099655810505</v>
      </c>
      <c r="AO68" s="3">
        <v>0.016975358472993904</v>
      </c>
      <c r="AP68" s="1"/>
    </row>
    <row r="69" spans="1:42">
      <c r="A69" s="1"/>
      <c r="B69" s="1"/>
      <c r="C69" s="1"/>
      <c r="D69" s="1"/>
      <c r="E69" s="1"/>
      <c r="F69" s="1"/>
      <c r="G69" s="1"/>
      <c r="H69" s="3">
        <v>0</v>
      </c>
      <c r="I69" s="3">
        <v>0</v>
      </c>
      <c r="J69" s="3">
        <v>1</v>
      </c>
      <c r="K69" s="3">
        <v>0</v>
      </c>
      <c r="L69" s="3">
        <v>0</v>
      </c>
      <c r="M69" s="3" t="s">
        <v>5</v>
      </c>
      <c r="N69" s="1"/>
      <c r="O69" s="3">
        <v>1</v>
      </c>
      <c r="P69" s="3">
        <v>0</v>
      </c>
      <c r="Q69" s="3">
        <v>1</v>
      </c>
      <c r="R69" s="3">
        <v>1</v>
      </c>
      <c r="S69" s="3">
        <v>1</v>
      </c>
      <c r="T69" s="3">
        <v>3</v>
      </c>
      <c r="U69" s="1"/>
      <c r="V69" s="1"/>
      <c r="W69" s="3">
        <v>4</v>
      </c>
      <c r="X69" s="3">
        <v>2</v>
      </c>
      <c r="Y69" s="3">
        <v>-4</v>
      </c>
      <c r="Z69" s="3">
        <v>3</v>
      </c>
      <c r="AA69" s="3" t="s">
        <v>5</v>
      </c>
      <c r="AB69" s="3">
        <v>-19.629909152447276</v>
      </c>
      <c r="AC69" s="3">
        <v>-2.3094010767585034</v>
      </c>
      <c r="AD69" s="3">
        <v>-15.588457268119896</v>
      </c>
      <c r="AE69" s="3">
        <v>-19.629909152447276</v>
      </c>
      <c r="AF69" s="3">
        <v>-15.01110699893027</v>
      </c>
      <c r="AG69" s="3">
        <v>-17.8978583448784</v>
      </c>
      <c r="AH69" s="1"/>
      <c r="AI69" s="3">
        <v>4</v>
      </c>
      <c r="AJ69" s="3">
        <v>0.00000000027893806595665235</v>
      </c>
      <c r="AK69" s="3">
        <v>0.017365282577118425</v>
      </c>
      <c r="AL69" s="3">
        <v>0.0000000014057264396844485</v>
      </c>
      <c r="AM69" s="3">
        <v>0.00000000027893806595665235</v>
      </c>
      <c r="AN69" s="3">
        <v>0.000000012456376248550466</v>
      </c>
      <c r="AO69" s="3">
        <v>0.0000000051354442304891514</v>
      </c>
      <c r="AP69" s="1"/>
    </row>
    <row r="70" spans="1: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3">
        <v>5</v>
      </c>
      <c r="X70" s="3">
        <v>-2</v>
      </c>
      <c r="Y70" s="3">
        <v>-3</v>
      </c>
      <c r="Z70" s="3">
        <v>4</v>
      </c>
      <c r="AA70" s="3" t="s">
        <v>5</v>
      </c>
      <c r="AB70" s="3">
        <v>-12.701705922171767</v>
      </c>
      <c r="AC70" s="3">
        <v>-1.7320508075688774</v>
      </c>
      <c r="AD70" s="3">
        <v>-4.618802153517007</v>
      </c>
      <c r="AE70" s="3">
        <v>-12.701705922171767</v>
      </c>
      <c r="AF70" s="3">
        <v>-5.196152422706632</v>
      </c>
      <c r="AG70" s="3">
        <v>-14.433756729740645</v>
      </c>
      <c r="AH70" s="1"/>
      <c r="AI70" s="3">
        <v>5</v>
      </c>
      <c r="AJ70" s="3">
        <v>0.0000002847004920673063</v>
      </c>
      <c r="AK70" s="3">
        <v>0.03093298926149526</v>
      </c>
      <c r="AL70" s="3">
        <v>0.00008165099811960248</v>
      </c>
      <c r="AM70" s="3">
        <v>0.0000002847004920673063</v>
      </c>
      <c r="AN70" s="3">
        <v>0.00022801967920374954</v>
      </c>
      <c r="AO70" s="3">
        <v>0.0000001640658653353326</v>
      </c>
      <c r="AP70" s="1"/>
    </row>
    <row r="71" spans="1:4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" t="s">
        <v>12</v>
      </c>
      <c r="AC72" s="3"/>
      <c r="AD72" s="3"/>
      <c r="AE72" s="1"/>
      <c r="AF72" s="3"/>
      <c r="AG72" s="3"/>
      <c r="AH72" s="1"/>
      <c r="AI72" s="3" t="s">
        <v>13</v>
      </c>
      <c r="AJ72" s="3" t="s">
        <v>2</v>
      </c>
      <c r="AK72" s="3" t="s">
        <v>2</v>
      </c>
      <c r="AL72" s="3" t="s">
        <v>2</v>
      </c>
      <c r="AM72" s="3" t="s">
        <v>2</v>
      </c>
      <c r="AN72" s="3" t="s">
        <v>2</v>
      </c>
      <c r="AO72" s="3" t="s">
        <v>2</v>
      </c>
      <c r="AP72" s="1"/>
    </row>
    <row r="73" spans="1:4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 cm="1">
        <f t="array" ref="AB73">_xlfn.ANCHORARRAY(O67)</f>
        <v>0</v>
      </c>
      <c r="AC73" s="3">
        <v>0</v>
      </c>
      <c r="AD73" s="3">
        <v>6</v>
      </c>
      <c r="AE73" s="3">
        <v>2</v>
      </c>
      <c r="AF73" s="3">
        <v>5</v>
      </c>
      <c r="AG73" s="3">
        <v>4</v>
      </c>
      <c r="AH73" s="1"/>
      <c r="AI73" s="3" t="s">
        <v>5</v>
      </c>
      <c r="AJ73" s="5" cm="1">
        <f t="array" ref="AJ73">MMULT(_xlfn.ANCHORARRAY(AB73),AJ65:AO70)</f>
        <v>0</v>
      </c>
      <c r="AK73" s="5">
        <v>1.5605319928399743</v>
      </c>
      <c r="AL73" s="5">
        <v>1.0580741043715924</v>
      </c>
      <c r="AM73" s="5">
        <v>0.11782925531909132</v>
      </c>
      <c r="AN73" s="5">
        <v>0.5235162019693739</v>
      </c>
      <c r="AO73" s="5">
        <v>0.06790211679712883</v>
      </c>
      <c r="AP73" s="1"/>
    </row>
    <row r="74" spans="1:4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>
        <v>7</v>
      </c>
      <c r="AC74" s="3">
        <v>4</v>
      </c>
      <c r="AD74" s="3">
        <v>7</v>
      </c>
      <c r="AE74" s="3">
        <v>7</v>
      </c>
      <c r="AF74" s="3">
        <v>5</v>
      </c>
      <c r="AG74" s="3">
        <v>4</v>
      </c>
      <c r="AH74" s="1"/>
      <c r="AI74" s="3" t="s">
        <v>5</v>
      </c>
      <c r="AJ74" s="5">
        <v>4.176742172796362</v>
      </c>
      <c r="AK74" s="5">
        <v>5.938134021477009</v>
      </c>
      <c r="AL74" s="5">
        <v>5.586621214668613</v>
      </c>
      <c r="AM74" s="5">
        <v>4.176742172796362</v>
      </c>
      <c r="AN74" s="5">
        <v>4.783906029174135</v>
      </c>
      <c r="AO74" s="5">
        <v>4.101852156455644</v>
      </c>
      <c r="AP74" s="1"/>
    </row>
    <row r="75" spans="1:4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">
        <v>1</v>
      </c>
      <c r="AC75" s="3">
        <v>0</v>
      </c>
      <c r="AD75" s="3">
        <v>1</v>
      </c>
      <c r="AE75" s="3">
        <v>1</v>
      </c>
      <c r="AF75" s="3">
        <v>1</v>
      </c>
      <c r="AG75" s="3">
        <v>3</v>
      </c>
      <c r="AH75" s="1"/>
      <c r="AI75" s="3" t="s">
        <v>5</v>
      </c>
      <c r="AJ75" s="5">
        <v>0.058914911886221964</v>
      </c>
      <c r="AK75" s="5">
        <v>0.750420496661568</v>
      </c>
      <c r="AL75" s="5">
        <v>0.5291186921543808</v>
      </c>
      <c r="AM75" s="5">
        <v>0.058914911886221964</v>
      </c>
      <c r="AN75" s="5">
        <v>0.26198607706657384</v>
      </c>
      <c r="AO75" s="5">
        <v>0.03395121443977317</v>
      </c>
      <c r="AP75" s="1"/>
    </row>
    <row r="76" spans="1:4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14</v>
      </c>
      <c r="N79" s="1"/>
      <c r="O79" s="3" t="s">
        <v>13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>
        <v>0</v>
      </c>
      <c r="N80" s="1"/>
      <c r="O80" s="5" cm="1">
        <f t="array" ref="O80">_xlfn.ANCHORARRAY(AJ31)</f>
        <v>0</v>
      </c>
      <c r="P80" s="5">
        <v>1.999023603395984</v>
      </c>
      <c r="Q80" s="5">
        <v>2.654977798023215</v>
      </c>
      <c r="R80" s="5">
        <v>1.939830373728407</v>
      </c>
      <c r="S80" s="5">
        <v>2.627542816872648</v>
      </c>
      <c r="T80" s="5">
        <v>1.8307843246325604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5">
        <v>2.9856370872616056</v>
      </c>
      <c r="P81" s="5">
        <v>2.999645416980924</v>
      </c>
      <c r="Q81" s="5">
        <v>0.37019408499672396</v>
      </c>
      <c r="R81" s="5">
        <v>2.9856370872616056</v>
      </c>
      <c r="S81" s="5">
        <v>0.3812403767698832</v>
      </c>
      <c r="T81" s="5">
        <v>2.991909088148843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">
        <v>0.9005959834362052</v>
      </c>
      <c r="P82" s="5">
        <v>0.9982687900631033</v>
      </c>
      <c r="Q82" s="5">
        <v>-0.17141685932895673</v>
      </c>
      <c r="R82" s="5">
        <v>0.9005959834362052</v>
      </c>
      <c r="S82" s="5">
        <v>-0.19933196413336726</v>
      </c>
      <c r="T82" s="5">
        <v>0.7421030822352418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>
        <v>1</v>
      </c>
      <c r="N83" s="1"/>
      <c r="O83" s="5" cm="1">
        <f t="array" ref="O83">_xlfn.ANCHORARRAY(AJ52)</f>
        <v>0</v>
      </c>
      <c r="P83" s="5">
        <v>-2.9079691907938154</v>
      </c>
      <c r="Q83" s="5">
        <v>-0.00028572806865534824</v>
      </c>
      <c r="R83" s="5">
        <v>-0.01459666930715951</v>
      </c>
      <c r="S83" s="5">
        <v>-0.00026981121595610435</v>
      </c>
      <c r="T83" s="5">
        <v>-2.7017863125880432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">
        <v>1.977800298338552</v>
      </c>
      <c r="P84" s="5">
        <v>0.9699952194482898</v>
      </c>
      <c r="Q84" s="5">
        <v>1.9981785282288642</v>
      </c>
      <c r="R84" s="5">
        <v>1.977800298338552</v>
      </c>
      <c r="S84" s="5">
        <v>1.9999114876203956</v>
      </c>
      <c r="T84" s="5">
        <v>0.9212086574247396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">
        <v>2.9788643361163953</v>
      </c>
      <c r="P85" s="5">
        <v>3.878300394524403</v>
      </c>
      <c r="Q85" s="5">
        <v>2.9974799158144183</v>
      </c>
      <c r="R85" s="5">
        <v>2.9788643361163953</v>
      </c>
      <c r="S85" s="5">
        <v>2.9998302576007894</v>
      </c>
      <c r="T85" s="5">
        <v>3.6323610695305297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>
        <v>2</v>
      </c>
      <c r="N86" s="1"/>
      <c r="O86" s="5" cm="1">
        <f t="array" ref="O86">_xlfn.ANCHORARRAY(AJ73)</f>
        <v>0</v>
      </c>
      <c r="P86" s="5">
        <v>1.5605319928399743</v>
      </c>
      <c r="Q86" s="5">
        <v>1.0580741043715924</v>
      </c>
      <c r="R86" s="5">
        <v>0.11782925531909132</v>
      </c>
      <c r="S86" s="5">
        <v>0.5235162019693739</v>
      </c>
      <c r="T86" s="5">
        <v>0.06790211679712883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">
        <v>4.176742172796362</v>
      </c>
      <c r="P87" s="5">
        <v>5.938134021477009</v>
      </c>
      <c r="Q87" s="5">
        <v>5.586621214668613</v>
      </c>
      <c r="R87" s="5">
        <v>4.176742172796362</v>
      </c>
      <c r="S87" s="5">
        <v>4.783906029174135</v>
      </c>
      <c r="T87" s="5">
        <v>4.101852156455644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5">
        <v>0.058914911886221964</v>
      </c>
      <c r="P88" s="5">
        <v>0.750420496661568</v>
      </c>
      <c r="Q88" s="5">
        <v>0.5291186921543808</v>
      </c>
      <c r="R88" s="5">
        <v>0.058914911886221964</v>
      </c>
      <c r="S88" s="5">
        <v>0.26198607706657384</v>
      </c>
      <c r="T88" s="5">
        <v>0.03395121443977317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"/>
      <c r="B91" s="1"/>
      <c r="C91" s="1"/>
      <c r="D91" s="1"/>
      <c r="E91" s="4"/>
      <c r="F91" s="1"/>
      <c r="G91" s="1"/>
      <c r="H91" s="1"/>
      <c r="I91" s="1"/>
      <c r="J91" s="1" t="s">
        <v>15</v>
      </c>
      <c r="K91" s="1"/>
      <c r="L91" s="1"/>
      <c r="M91" s="1"/>
      <c r="N91" s="1"/>
      <c r="O91" s="3" t="s">
        <v>2</v>
      </c>
      <c r="P91" s="3" t="s">
        <v>2</v>
      </c>
      <c r="Q91" s="3" t="s">
        <v>2</v>
      </c>
      <c r="R91" s="3" t="s">
        <v>2</v>
      </c>
      <c r="S91" s="3" t="s">
        <v>2</v>
      </c>
      <c r="T91" s="3" t="s">
        <v>2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"/>
      <c r="B92" s="3">
        <v>0</v>
      </c>
      <c r="C92" s="3">
        <v>0</v>
      </c>
      <c r="D92" s="3">
        <v>1</v>
      </c>
      <c r="E92" s="3">
        <v>0</v>
      </c>
      <c r="F92" s="3">
        <v>0</v>
      </c>
      <c r="G92" s="3">
        <v>1</v>
      </c>
      <c r="H92" s="3">
        <v>-1</v>
      </c>
      <c r="I92" s="3">
        <v>-1</v>
      </c>
      <c r="J92" s="3">
        <v>-1</v>
      </c>
      <c r="K92" s="3" t="s">
        <v>5</v>
      </c>
      <c r="L92" s="1"/>
      <c r="M92" s="1" t="s">
        <v>16</v>
      </c>
      <c r="N92" s="1"/>
      <c r="O92" s="3">
        <f>MMULT(B92:J96,O80:T88)</f>
        <v>0</v>
      </c>
      <c r="P92" s="3">
        <v>-3.3725173263910455</v>
      </c>
      <c r="Q92" s="3">
        <v>-4.347750954709124</v>
      </c>
      <c r="R92" s="3">
        <v>-0.4740260204490749</v>
      </c>
      <c r="S92" s="3">
        <v>-2.768910014742661</v>
      </c>
      <c r="T92" s="3">
        <v>0.17075866407322543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"/>
      <c r="B93" s="3">
        <v>1</v>
      </c>
      <c r="C93" s="3">
        <v>1</v>
      </c>
      <c r="D93" s="3">
        <v>1</v>
      </c>
      <c r="E93" s="3">
        <v>0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 t="s">
        <v>5</v>
      </c>
      <c r="L93" s="1"/>
      <c r="M93" s="1"/>
      <c r="N93" s="1"/>
      <c r="O93" s="3">
        <v>15.136214418882838</v>
      </c>
      <c r="P93" s="3">
        <v>19.09431993539126</v>
      </c>
      <c r="Q93" s="3">
        <v>15.02322747892885</v>
      </c>
      <c r="R93" s="3">
        <v>15.136214418882838</v>
      </c>
      <c r="S93" s="3">
        <v>13.378601282940432</v>
      </c>
      <c r="T93" s="3">
        <v>14.32207170966446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"/>
      <c r="B94" s="3">
        <v>1</v>
      </c>
      <c r="C94" s="3">
        <v>0</v>
      </c>
      <c r="D94" s="3">
        <v>-1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 t="s">
        <v>5</v>
      </c>
      <c r="L94" s="1"/>
      <c r="M94" s="1"/>
      <c r="N94" s="1"/>
      <c r="O94" s="3">
        <v>1.1424669763041337</v>
      </c>
      <c r="P94" s="3">
        <v>-0.34668238462096035</v>
      </c>
      <c r="Q94" s="3">
        <v>3.884183033655109</v>
      </c>
      <c r="R94" s="3">
        <v>1.1424669763041337</v>
      </c>
      <c r="S94" s="3">
        <v>3.350121171759433</v>
      </c>
      <c r="T94" s="3">
        <v>-1.545202953393596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"/>
      <c r="B95" s="3">
        <v>1</v>
      </c>
      <c r="C95" s="3">
        <v>0</v>
      </c>
      <c r="D95" s="3">
        <v>0</v>
      </c>
      <c r="E95" s="3">
        <v>0</v>
      </c>
      <c r="F95" s="3">
        <v>0</v>
      </c>
      <c r="G95" s="3">
        <v>-1</v>
      </c>
      <c r="H95" s="3">
        <v>1</v>
      </c>
      <c r="I95" s="3">
        <v>0</v>
      </c>
      <c r="J95" s="3">
        <v>0</v>
      </c>
      <c r="K95" s="3" t="s">
        <v>5</v>
      </c>
      <c r="L95" s="1"/>
      <c r="M95" s="1"/>
      <c r="N95" s="1"/>
      <c r="O95" s="3">
        <v>-0.921204707068897</v>
      </c>
      <c r="P95" s="3">
        <v>-0.3187447982884444</v>
      </c>
      <c r="Q95" s="3">
        <v>0.7155719865803893</v>
      </c>
      <c r="R95" s="3">
        <v>-0.921204707068897</v>
      </c>
      <c r="S95" s="3">
        <v>0.1512287612412323</v>
      </c>
      <c r="T95" s="3">
        <v>-1.7336746281008406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"/>
      <c r="B96" s="3">
        <v>-1</v>
      </c>
      <c r="C96" s="3">
        <v>1</v>
      </c>
      <c r="D96" s="3">
        <v>1</v>
      </c>
      <c r="E96" s="3">
        <v>1</v>
      </c>
      <c r="F96" s="3">
        <v>0</v>
      </c>
      <c r="G96" s="3">
        <v>0</v>
      </c>
      <c r="H96" s="3">
        <v>-1</v>
      </c>
      <c r="I96" s="3">
        <v>1</v>
      </c>
      <c r="J96" s="3">
        <v>0</v>
      </c>
      <c r="K96" s="3" t="s">
        <v>5</v>
      </c>
      <c r="L96" s="1"/>
      <c r="M96" s="1"/>
      <c r="N96" s="1"/>
      <c r="O96" s="3">
        <v>5.990718945139514</v>
      </c>
      <c r="P96" s="3">
        <v>3.468523441491263</v>
      </c>
      <c r="Q96" s="3">
        <v>2.0720608098729167</v>
      </c>
      <c r="R96" s="3">
        <v>5.990718945139514</v>
      </c>
      <c r="S96" s="3">
        <v>1.8144856117526733</v>
      </c>
      <c r="T96" s="3">
        <v>3.2353915728219964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8" t="s">
        <v>17</v>
      </c>
    </row>
    <row r="2" spans="1:1">
      <c r="A2" s="9"/>
    </row>
    <row r="3" spans="1:1">
      <c r="A3" s="9" t="s">
        <v>18</v>
      </c>
    </row>
    <row r="4" spans="1:1">
      <c r="A4" s="9"/>
    </row>
    <row r="5" spans="1:1">
      <c r="A5" s="9" t="s">
        <v>19</v>
      </c>
    </row>
    <row r="6" spans="1:1">
      <c r="A6" s="9" t="s">
        <v>20</v>
      </c>
    </row>
    <row r="7" spans="1:1">
      <c r="A7" s="9" t="s">
        <v>21</v>
      </c>
    </row>
    <row r="8" spans="1:1">
      <c r="A8" s="9" t="s">
        <v>22</v>
      </c>
    </row>
    <row r="9" spans="1:1">
      <c r="A9" s="9" t="s">
        <v>23</v>
      </c>
    </row>
    <row r="10" spans="1:1">
      <c r="A10" s="9" t="s">
        <v>24</v>
      </c>
    </row>
    <row r="11" spans="1:1">
      <c r="A11" s="9"/>
    </row>
    <row r="12" spans="1:1">
      <c r="A12" s="9" t="s">
        <v>25</v>
      </c>
    </row>
    <row r="13" spans="1:1">
      <c r="A13" s="9" t="s">
        <v>26</v>
      </c>
    </row>
    <row r="14" spans="1:1">
      <c r="A14" s="9"/>
    </row>
    <row r="15" spans="1:1">
      <c r="A15" s="9" t="s">
        <v>27</v>
      </c>
    </row>
    <row r="16" spans="1:1">
      <c r="A16" s="9" t="s">
        <v>28</v>
      </c>
    </row>
    <row r="17" spans="1:1">
      <c r="A17" s="9" t="s">
        <v>29</v>
      </c>
    </row>
    <row r="18" spans="1:1">
      <c r="A18" s="9" t="s">
        <v>30</v>
      </c>
    </row>
    <row r="19" spans="1:1">
      <c r="A19" s="9" t="s">
        <v>31</v>
      </c>
    </row>
    <row r="20" spans="1:1">
      <c r="A20" s="9" t="s">
        <v>32</v>
      </c>
    </row>
    <row r="21" spans="1:1">
      <c r="A21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heads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