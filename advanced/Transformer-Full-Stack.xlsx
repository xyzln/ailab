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former " sheetId="1" r:id="rId1"/>
    <sheet name="LICENSE" sheetId="2" r:id="rId2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<sst xmlns="http://schemas.openxmlformats.org/spreadsheetml/2006/main" count="759" uniqueCount="91">
  <si>
    <t>Output Tokens</t>
  </si>
  <si>
    <t>(shifted right)</t>
  </si>
  <si>
    <t>[S]</t>
  </si>
  <si>
    <t>the</t>
  </si>
  <si>
    <t>dog</t>
  </si>
  <si>
    <t>and</t>
  </si>
  <si>
    <t>cat</t>
  </si>
  <si>
    <t>play</t>
  </si>
  <si>
    <t>t</t>
  </si>
  <si>
    <t>a</t>
  </si>
  <si>
    <t>apples</t>
  </si>
  <si>
    <t>Input Tokens</t>
  </si>
  <si>
    <t>brings</t>
  </si>
  <si>
    <t>by</t>
  </si>
  <si>
    <t>小</t>
  </si>
  <si>
    <t>狗</t>
  </si>
  <si>
    <t>和</t>
  </si>
  <si>
    <t>貓</t>
  </si>
  <si>
    <t>玩</t>
  </si>
  <si>
    <t>day</t>
  </si>
  <si>
    <t>eat</t>
  </si>
  <si>
    <t>fill</t>
  </si>
  <si>
    <t>牛</t>
  </si>
  <si>
    <t>friend</t>
  </si>
  <si>
    <t>大</t>
  </si>
  <si>
    <t>happy</t>
  </si>
  <si>
    <t>中</t>
  </si>
  <si>
    <t>house</t>
  </si>
  <si>
    <t>laughter</t>
  </si>
  <si>
    <t>吃</t>
  </si>
  <si>
    <t>light</t>
  </si>
  <si>
    <t>music</t>
  </si>
  <si>
    <t>跑</t>
  </si>
  <si>
    <t>night</t>
  </si>
  <si>
    <t>你</t>
  </si>
  <si>
    <t>quiet</t>
  </si>
  <si>
    <t>我</t>
  </si>
  <si>
    <t>smile</t>
  </si>
  <si>
    <t>他</t>
  </si>
  <si>
    <t>的</t>
  </si>
  <si>
    <t>to</t>
  </si>
  <si>
    <t>好</t>
  </si>
  <si>
    <t>water</t>
  </si>
  <si>
    <t>在</t>
  </si>
  <si>
    <t>↓</t>
  </si>
  <si>
    <t>→</t>
  </si>
  <si>
    <t>Positional</t>
  </si>
  <si>
    <t>Encoding</t>
  </si>
  <si>
    <t>d</t>
  </si>
  <si>
    <t>Casual Mask</t>
  </si>
  <si>
    <t>Head</t>
  </si>
  <si>
    <t>Wq</t>
  </si>
  <si>
    <t>Q</t>
  </si>
  <si>
    <t>K^T * Q / sqrt(dk)</t>
  </si>
  <si>
    <t>K^T</t>
  </si>
  <si>
    <t>K^T * Q / sqrt(dk) + casual mask</t>
  </si>
  <si>
    <t>Wk</t>
  </si>
  <si>
    <t>K</t>
  </si>
  <si>
    <t>V</t>
  </si>
  <si>
    <t>Wv</t>
  </si>
  <si>
    <t>Linear</t>
  </si>
  <si>
    <t>Normalize</t>
  </si>
  <si>
    <t>Scale &amp; Shift</t>
  </si>
  <si>
    <t>gamma</t>
  </si>
  <si>
    <t>beta</t>
  </si>
  <si>
    <t>ReLU</t>
  </si>
  <si>
    <t>Logit (Z)</t>
  </si>
  <si>
    <t>Prediction (Y)</t>
  </si>
  <si>
    <t>(Output Probabilities)</t>
  </si>
  <si>
    <t>Last Token Position</t>
  </si>
  <si>
    <t>Next Token Probabilities</t>
  </si>
  <si>
    <t>MIT License</t>
  </si>
  <si>
    <t>Copyright (c) 2026 xyzln</t>
  </si>
  <si>
    <t>This work is based on ai-by-hand-excel</t>
  </si>
  <si>
    <t>&lt;https://github.com/ImagineAILab/ai-by-hand-excel&gt;,</t>
  </si>
  <si>
    <t>Copyright (c) 2024 Tom Yeh, licensed under the MIT License.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</si>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</sst>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4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5" fillId="0" borderId="1" xfId="0" applyFon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S453"/>
  <sheetViews>
    <sheetView tabSelected="1" workbookViewId="0"/>
  </sheetViews>
  <sheetFormatPr defaultRowHeight="15"/>
  <cols>
    <col min="1" max="2" width="5" customWidth="1"/>
    <col min="3" max="7" width="5.7109375" customWidth="1"/>
    <col min="8" max="9" width="6.7109375" customWidth="1"/>
    <col min="10" max="11" width="5.7109375" customWidth="1"/>
    <col min="12" max="14" width="6.7109375" customWidth="1"/>
    <col min="15" max="15" width="10.7109375" customWidth="1"/>
    <col min="16" max="20" width="6.7109375" customWidth="1"/>
    <col min="21" max="21" width="5" customWidth="1"/>
    <col min="22" max="22" width="6.7109375" customWidth="1"/>
    <col min="23" max="25" width="5" customWidth="1"/>
    <col min="26" max="31" width="7.7109375" customWidth="1"/>
    <col min="32" max="33" width="5" customWidth="1"/>
    <col min="34" max="34" width="5.7109375" customWidth="1"/>
    <col min="35" max="37" width="6.7109375" customWidth="1"/>
    <col min="38" max="38" width="5" customWidth="1"/>
    <col min="39" max="40" width="6.7109375" customWidth="1"/>
    <col min="41" max="41" width="7.7109375" customWidth="1"/>
    <col min="42" max="42" width="6.7109375" customWidth="1"/>
    <col min="43" max="43" width="7.7109375" customWidth="1"/>
    <col min="44" max="44" width="6.7109375" customWidth="1"/>
    <col min="45" max="48" width="5" customWidth="1"/>
    <col min="49" max="49" width="7.7109375" customWidth="1"/>
    <col min="50" max="50" width="6.7109375" customWidth="1"/>
    <col min="51" max="51" width="7.7109375" customWidth="1"/>
    <col min="52" max="52" width="6.7109375" customWidth="1"/>
    <col min="53" max="53" width="7.7109375" customWidth="1"/>
    <col min="54" max="54" width="6.7109375" customWidth="1"/>
    <col min="55" max="61" width="5" customWidth="1"/>
    <col min="62" max="71" width="5.7109375" customWidth="1"/>
    <col min="72" max="83" width="6.7109375" customWidth="1"/>
    <col min="84" max="84" width="5" customWidth="1"/>
    <col min="85" max="86" width="6.7109375" customWidth="1"/>
    <col min="87" max="90" width="5" customWidth="1"/>
    <col min="91" max="91" width="7.7109375" customWidth="1"/>
    <col min="92" max="92" width="5" customWidth="1"/>
    <col min="93" max="97" width="7.7109375" customWidth="1"/>
    <col min="98" max="99" width="5" customWidth="1"/>
    <col min="100" max="100" width="5.7109375" customWidth="1"/>
    <col min="101" max="103" width="6.7109375" customWidth="1"/>
    <col min="104" max="104" width="5.7109375" customWidth="1"/>
    <col min="105" max="111" width="8.7109375" customWidth="1"/>
    <col min="112" max="112" width="6.7109375" customWidth="1"/>
    <col min="113" max="115" width="5" customWidth="1"/>
    <col min="116" max="122" width="7.7109375" customWidth="1"/>
    <col min="123" max="16384" width="5" customWidth="1"/>
  </cols>
  <sheetData>
    <row r="1" spans="1:12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</row>
    <row r="2" spans="1:12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</row>
    <row r="3" spans="1:12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2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</row>
    <row r="4" spans="1:12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</row>
    <row r="5" spans="1:1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</row>
    <row r="6" spans="1:12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2" t="s">
        <v>0</v>
      </c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</row>
    <row r="7" spans="1:12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3" t="s">
        <v>1</v>
      </c>
      <c r="CL7" s="1"/>
      <c r="CM7" s="1"/>
      <c r="CN7" s="1"/>
      <c r="CO7" s="1"/>
      <c r="CP7" s="1"/>
      <c r="CQ7" s="3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</row>
    <row r="8" spans="1:12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3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</row>
    <row r="9" spans="1:12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3" t="s">
        <v>2</v>
      </c>
      <c r="CM9" s="3" t="s">
        <v>3</v>
      </c>
      <c r="CN9" s="3" t="s">
        <v>4</v>
      </c>
      <c r="CO9" s="3" t="s">
        <v>5</v>
      </c>
      <c r="CP9" s="3" t="s">
        <v>6</v>
      </c>
      <c r="CQ9" s="3" t="s">
        <v>7</v>
      </c>
      <c r="CR9" s="3"/>
      <c r="CS9" s="3"/>
      <c r="CT9" s="3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</row>
    <row r="10" spans="1:12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</row>
    <row r="11" spans="1:12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 t="s">
        <v>8</v>
      </c>
      <c r="CL11" s="1">
        <v>0</v>
      </c>
      <c r="CM11" s="1">
        <v>1</v>
      </c>
      <c r="CN11" s="1">
        <v>2</v>
      </c>
      <c r="CO11" s="1">
        <v>3</v>
      </c>
      <c r="CP11" s="1">
        <v>4</v>
      </c>
      <c r="CQ11" s="1">
        <v>5</v>
      </c>
      <c r="CR11" s="1">
        <v>6</v>
      </c>
      <c r="CS11" s="1">
        <v>7</v>
      </c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</row>
    <row r="12" spans="1:12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3">
        <f>TRANSPOSE($BJ$39:$CG$39)</f>
        <v>0</v>
      </c>
      <c r="CG12" s="1"/>
      <c r="CH12" s="1" cm="1">
        <f t="array" ref="CH12">_xlfn.SEQUENCE(24,1,0)</f>
        <v>0</v>
      </c>
      <c r="CI12" s="1"/>
      <c r="CJ12" s="1"/>
      <c r="CK12" s="1"/>
      <c r="CL12" s="1">
        <f>IF($CF12:$CF35=CL9,1,0)</f>
        <v>0</v>
      </c>
      <c r="CM12" s="1">
        <f>IF($CF12:$CF35=CM9,1,0)</f>
        <v>0</v>
      </c>
      <c r="CN12" s="1">
        <f>IF($CF12:$CF35=CN9,1,0)</f>
        <v>0</v>
      </c>
      <c r="CO12" s="1">
        <f>IF($CF12:$CF35=CO9,1,0)</f>
        <v>0</v>
      </c>
      <c r="CP12" s="1">
        <f>IF($CF12:$CF35=CP9,1,0)</f>
        <v>0</v>
      </c>
      <c r="CQ12" s="1">
        <f>IF($CF12:$CF35=CQ9,1,0)</f>
        <v>0</v>
      </c>
      <c r="CR12" s="1">
        <f>IF($CF12:$CF35=CR9,1,0)</f>
        <v>0</v>
      </c>
      <c r="CS12" s="1">
        <f>IF($CF12:$CF35=CS9,1,0)</f>
        <v>0</v>
      </c>
      <c r="CT12" s="1"/>
      <c r="CU12" s="2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</row>
    <row r="13" spans="1:12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3" t="s">
        <v>9</v>
      </c>
      <c r="CG13" s="1"/>
      <c r="CH13" s="1">
        <v>1</v>
      </c>
      <c r="CI13" s="1"/>
      <c r="CJ13" s="1"/>
      <c r="CK13" s="1"/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</row>
    <row r="14" spans="1:12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3" t="s">
        <v>5</v>
      </c>
      <c r="CG14" s="1"/>
      <c r="CH14" s="1">
        <v>2</v>
      </c>
      <c r="CI14" s="1"/>
      <c r="CJ14" s="1"/>
      <c r="CK14" s="1"/>
      <c r="CL14" s="1">
        <v>0</v>
      </c>
      <c r="CM14" s="1">
        <v>0</v>
      </c>
      <c r="CN14" s="1">
        <v>0</v>
      </c>
      <c r="CO14" s="1">
        <v>1</v>
      </c>
      <c r="CP14" s="1">
        <v>0</v>
      </c>
      <c r="CQ14" s="1">
        <v>0</v>
      </c>
      <c r="CR14" s="1">
        <v>0</v>
      </c>
      <c r="CS14" s="1">
        <v>0</v>
      </c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</row>
    <row r="15" spans="1:12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3" t="s">
        <v>10</v>
      </c>
      <c r="CG15" s="1"/>
      <c r="CH15" s="1">
        <v>3</v>
      </c>
      <c r="CI15" s="1"/>
      <c r="CJ15" s="1"/>
      <c r="CK15" s="1"/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</row>
    <row r="16" spans="1:12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2" t="s">
        <v>11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3" t="s">
        <v>12</v>
      </c>
      <c r="CG16" s="1"/>
      <c r="CH16" s="1">
        <v>4</v>
      </c>
      <c r="CI16" s="1"/>
      <c r="CJ16" s="1"/>
      <c r="CK16" s="1"/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</row>
    <row r="17" spans="1:12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3" t="s">
        <v>13</v>
      </c>
      <c r="CG17" s="1"/>
      <c r="CH17" s="1">
        <v>5</v>
      </c>
      <c r="CI17" s="1"/>
      <c r="CJ17" s="1"/>
      <c r="CK17" s="1"/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</row>
    <row r="18" spans="1:12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3" t="s">
        <v>14</v>
      </c>
      <c r="AA18" s="3" t="s">
        <v>15</v>
      </c>
      <c r="AB18" s="3" t="s">
        <v>16</v>
      </c>
      <c r="AC18" s="3" t="s">
        <v>14</v>
      </c>
      <c r="AD18" s="3" t="s">
        <v>17</v>
      </c>
      <c r="AE18" s="3" t="s">
        <v>18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3" t="s">
        <v>6</v>
      </c>
      <c r="CG18" s="1"/>
      <c r="CH18" s="1">
        <v>6</v>
      </c>
      <c r="CI18" s="1"/>
      <c r="CJ18" s="1"/>
      <c r="CK18" s="1"/>
      <c r="CL18" s="1">
        <v>0</v>
      </c>
      <c r="CM18" s="1">
        <v>0</v>
      </c>
      <c r="CN18" s="1">
        <v>0</v>
      </c>
      <c r="CO18" s="1">
        <v>0</v>
      </c>
      <c r="CP18" s="1">
        <v>1</v>
      </c>
      <c r="CQ18" s="1">
        <v>0</v>
      </c>
      <c r="CR18" s="1">
        <v>0</v>
      </c>
      <c r="CS18" s="1">
        <v>0</v>
      </c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</row>
    <row r="19" spans="1:12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3" t="s">
        <v>19</v>
      </c>
      <c r="CG19" s="1"/>
      <c r="CH19" s="1">
        <v>7</v>
      </c>
      <c r="CI19" s="1"/>
      <c r="CJ19" s="1"/>
      <c r="CK19" s="1"/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</row>
    <row r="20" spans="1:12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 t="s">
        <v>8</v>
      </c>
      <c r="Z20" s="1">
        <v>0</v>
      </c>
      <c r="AA20" s="1">
        <v>1</v>
      </c>
      <c r="AB20" s="1">
        <v>2</v>
      </c>
      <c r="AC20" s="1">
        <v>3</v>
      </c>
      <c r="AD20" s="1">
        <v>4</v>
      </c>
      <c r="AE20" s="1">
        <v>5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3" t="s">
        <v>4</v>
      </c>
      <c r="CG20" s="1"/>
      <c r="CH20" s="1">
        <v>8</v>
      </c>
      <c r="CI20" s="1"/>
      <c r="CJ20" s="1"/>
      <c r="CK20" s="1"/>
      <c r="CL20" s="1">
        <v>0</v>
      </c>
      <c r="CM20" s="1">
        <v>0</v>
      </c>
      <c r="CN20" s="1">
        <v>1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</row>
    <row r="21" spans="1:12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3">
        <f>TRANSPOSE(C39:R39)</f>
        <v>0</v>
      </c>
      <c r="U21" s="1"/>
      <c r="V21" s="1" cm="1">
        <f t="array" ref="V21">_xlfn.SEQUENCE(16,1,0)</f>
        <v>0</v>
      </c>
      <c r="W21" s="1"/>
      <c r="X21" s="1"/>
      <c r="Y21" s="1"/>
      <c r="Z21" s="1" cm="1">
        <f t="array" ref="Z21">IF(_xlfn.ANCHORARRAY($T21)=Z18,1,0)</f>
        <v>0</v>
      </c>
      <c r="AA21" s="1" cm="1">
        <f t="array" ref="AA21">IF(_xlfn.ANCHORARRAY($T21)=AA18,1,0)</f>
        <v>0</v>
      </c>
      <c r="AB21" s="1" cm="1">
        <f t="array" ref="AB21">IF(_xlfn.ANCHORARRAY($T21)=AB18,1,0)</f>
        <v>0</v>
      </c>
      <c r="AC21" s="1" cm="1">
        <f t="array" ref="AC21">IF(_xlfn.ANCHORARRAY($T21)=AC18,1,0)</f>
        <v>0</v>
      </c>
      <c r="AD21" s="1" cm="1">
        <f t="array" ref="AD21">IF(_xlfn.ANCHORARRAY($T21)=AD18,1,0)</f>
        <v>0</v>
      </c>
      <c r="AE21" s="1" cm="1">
        <f t="array" ref="AE21">IF(_xlfn.ANCHORARRAY($T21)=AE18,1,0)</f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3" t="s">
        <v>20</v>
      </c>
      <c r="CG21" s="1"/>
      <c r="CH21" s="1">
        <v>9</v>
      </c>
      <c r="CI21" s="1"/>
      <c r="CJ21" s="1"/>
      <c r="CK21" s="1"/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</row>
    <row r="22" spans="1:12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3" t="s">
        <v>17</v>
      </c>
      <c r="U22" s="1"/>
      <c r="V22" s="1">
        <v>1</v>
      </c>
      <c r="W22" s="1"/>
      <c r="X22" s="1"/>
      <c r="Y22" s="1"/>
      <c r="Z22" s="1">
        <v>0</v>
      </c>
      <c r="AA22" s="1">
        <v>0</v>
      </c>
      <c r="AB22" s="1">
        <v>0</v>
      </c>
      <c r="AC22" s="1">
        <v>0</v>
      </c>
      <c r="AD22" s="1">
        <v>1</v>
      </c>
      <c r="AE22" s="1"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3" t="s">
        <v>21</v>
      </c>
      <c r="CG22" s="1"/>
      <c r="CH22" s="1">
        <v>10</v>
      </c>
      <c r="CI22" s="1"/>
      <c r="CJ22" s="1"/>
      <c r="CK22" s="1"/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</row>
    <row r="23" spans="1:1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3" t="s">
        <v>22</v>
      </c>
      <c r="U23" s="1"/>
      <c r="V23" s="1">
        <v>2</v>
      </c>
      <c r="W23" s="1"/>
      <c r="X23" s="1"/>
      <c r="Y23" s="1"/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3" t="s">
        <v>23</v>
      </c>
      <c r="CG23" s="1"/>
      <c r="CH23" s="1">
        <v>11</v>
      </c>
      <c r="CI23" s="1"/>
      <c r="CJ23" s="1"/>
      <c r="CK23" s="1"/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</row>
    <row r="24" spans="1:12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3" t="s">
        <v>24</v>
      </c>
      <c r="U24" s="1"/>
      <c r="V24" s="1">
        <v>3</v>
      </c>
      <c r="W24" s="1"/>
      <c r="X24" s="1"/>
      <c r="Y24" s="1"/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3" t="s">
        <v>25</v>
      </c>
      <c r="CG24" s="1"/>
      <c r="CH24" s="1">
        <v>12</v>
      </c>
      <c r="CI24" s="1"/>
      <c r="CJ24" s="1"/>
      <c r="CK24" s="1"/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</row>
    <row r="25" spans="1:12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3" t="s">
        <v>26</v>
      </c>
      <c r="U25" s="1"/>
      <c r="V25" s="1">
        <v>4</v>
      </c>
      <c r="W25" s="1"/>
      <c r="X25" s="1"/>
      <c r="Y25" s="1"/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3" t="s">
        <v>27</v>
      </c>
      <c r="CG25" s="1"/>
      <c r="CH25" s="1">
        <v>13</v>
      </c>
      <c r="CI25" s="1"/>
      <c r="CJ25" s="1"/>
      <c r="CK25" s="1"/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</row>
    <row r="26" spans="1:12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3" t="s">
        <v>14</v>
      </c>
      <c r="U26" s="1"/>
      <c r="V26" s="1">
        <v>5</v>
      </c>
      <c r="W26" s="1"/>
      <c r="X26" s="1"/>
      <c r="Y26" s="1"/>
      <c r="Z26" s="1">
        <v>1</v>
      </c>
      <c r="AA26" s="1">
        <v>0</v>
      </c>
      <c r="AB26" s="1">
        <v>0</v>
      </c>
      <c r="AC26" s="1">
        <v>1</v>
      </c>
      <c r="AD26" s="1">
        <v>0</v>
      </c>
      <c r="AE26" s="1"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3" t="s">
        <v>28</v>
      </c>
      <c r="CG26" s="1"/>
      <c r="CH26" s="1">
        <v>14</v>
      </c>
      <c r="CI26" s="1"/>
      <c r="CJ26" s="1"/>
      <c r="CK26" s="1"/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</row>
    <row r="27" spans="1:12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3" t="s">
        <v>29</v>
      </c>
      <c r="U27" s="1"/>
      <c r="V27" s="1">
        <v>6</v>
      </c>
      <c r="W27" s="1"/>
      <c r="X27" s="1"/>
      <c r="Y27" s="1"/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3" t="s">
        <v>30</v>
      </c>
      <c r="CG27" s="1"/>
      <c r="CH27" s="1">
        <v>15</v>
      </c>
      <c r="CI27" s="1"/>
      <c r="CJ27" s="1"/>
      <c r="CK27" s="1"/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</row>
    <row r="28" spans="1:12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3" t="s">
        <v>18</v>
      </c>
      <c r="U28" s="1"/>
      <c r="V28" s="1">
        <v>7</v>
      </c>
      <c r="W28" s="1"/>
      <c r="X28" s="1"/>
      <c r="Y28" s="1"/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1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3" t="s">
        <v>31</v>
      </c>
      <c r="CG28" s="1"/>
      <c r="CH28" s="1">
        <v>16</v>
      </c>
      <c r="CI28" s="1"/>
      <c r="CJ28" s="1"/>
      <c r="CK28" s="1"/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</row>
    <row r="29" spans="1:12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3" t="s">
        <v>32</v>
      </c>
      <c r="U29" s="1"/>
      <c r="V29" s="1">
        <v>8</v>
      </c>
      <c r="W29" s="1"/>
      <c r="X29" s="1"/>
      <c r="Y29" s="1"/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3" t="s">
        <v>33</v>
      </c>
      <c r="CG29" s="1"/>
      <c r="CH29" s="1">
        <v>17</v>
      </c>
      <c r="CI29" s="1"/>
      <c r="CJ29" s="1"/>
      <c r="CK29" s="1"/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</row>
    <row r="30" spans="1:12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3" t="s">
        <v>16</v>
      </c>
      <c r="U30" s="1"/>
      <c r="V30" s="1">
        <v>9</v>
      </c>
      <c r="W30" s="1"/>
      <c r="X30" s="1"/>
      <c r="Y30" s="1"/>
      <c r="Z30" s="1">
        <v>0</v>
      </c>
      <c r="AA30" s="1">
        <v>0</v>
      </c>
      <c r="AB30" s="1">
        <v>1</v>
      </c>
      <c r="AC30" s="1">
        <v>0</v>
      </c>
      <c r="AD30" s="1">
        <v>0</v>
      </c>
      <c r="AE30" s="1"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3" t="s">
        <v>7</v>
      </c>
      <c r="CG30" s="1"/>
      <c r="CH30" s="1">
        <v>18</v>
      </c>
      <c r="CI30" s="1"/>
      <c r="CJ30" s="1"/>
      <c r="CK30" s="1"/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1</v>
      </c>
      <c r="CR30" s="1">
        <v>0</v>
      </c>
      <c r="CS30" s="1">
        <v>0</v>
      </c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</row>
    <row r="31" spans="1:12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3" t="s">
        <v>34</v>
      </c>
      <c r="U31" s="1"/>
      <c r="V31" s="1">
        <v>10</v>
      </c>
      <c r="W31" s="1"/>
      <c r="X31" s="1"/>
      <c r="Y31" s="1"/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3" t="s">
        <v>35</v>
      </c>
      <c r="CG31" s="1"/>
      <c r="CH31" s="1">
        <v>19</v>
      </c>
      <c r="CI31" s="1"/>
      <c r="CJ31" s="1"/>
      <c r="CK31" s="1"/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</row>
    <row r="32" spans="1:12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3" t="s">
        <v>36</v>
      </c>
      <c r="U32" s="1"/>
      <c r="V32" s="1">
        <v>11</v>
      </c>
      <c r="W32" s="1"/>
      <c r="X32" s="1"/>
      <c r="Y32" s="1"/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3" t="s">
        <v>37</v>
      </c>
      <c r="CG32" s="1"/>
      <c r="CH32" s="1">
        <v>20</v>
      </c>
      <c r="CI32" s="1"/>
      <c r="CJ32" s="1"/>
      <c r="CK32" s="1"/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</row>
    <row r="33" spans="1:12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3" t="s">
        <v>38</v>
      </c>
      <c r="U33" s="1"/>
      <c r="V33" s="1">
        <v>12</v>
      </c>
      <c r="W33" s="1"/>
      <c r="X33" s="1"/>
      <c r="Y33" s="1"/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3" t="s">
        <v>3</v>
      </c>
      <c r="CG33" s="1"/>
      <c r="CH33" s="1">
        <v>21</v>
      </c>
      <c r="CI33" s="1"/>
      <c r="CJ33" s="1"/>
      <c r="CK33" s="1"/>
      <c r="CL33" s="1">
        <v>0</v>
      </c>
      <c r="CM33" s="1">
        <v>1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</row>
    <row r="34" spans="1:12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3" t="s">
        <v>39</v>
      </c>
      <c r="U34" s="1"/>
      <c r="V34" s="1">
        <v>13</v>
      </c>
      <c r="W34" s="1"/>
      <c r="X34" s="1"/>
      <c r="Y34" s="1"/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3" t="s">
        <v>40</v>
      </c>
      <c r="CG34" s="1"/>
      <c r="CH34" s="1">
        <v>22</v>
      </c>
      <c r="CI34" s="1"/>
      <c r="CJ34" s="1"/>
      <c r="CK34" s="1"/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</row>
    <row r="35" spans="1:12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3" t="s">
        <v>41</v>
      </c>
      <c r="U35" s="1"/>
      <c r="V35" s="1">
        <v>14</v>
      </c>
      <c r="W35" s="1"/>
      <c r="X35" s="1"/>
      <c r="Y35" s="1"/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3" t="s">
        <v>42</v>
      </c>
      <c r="CG35" s="1"/>
      <c r="CH35" s="1">
        <v>23</v>
      </c>
      <c r="CI35" s="1"/>
      <c r="CJ35" s="1"/>
      <c r="CK35" s="1"/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</row>
    <row r="36" spans="1:12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3" t="s">
        <v>43</v>
      </c>
      <c r="U36" s="1"/>
      <c r="V36" s="1">
        <v>15</v>
      </c>
      <c r="W36" s="1"/>
      <c r="X36" s="1"/>
      <c r="Y36" s="1"/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</row>
    <row r="37" spans="1:12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</row>
    <row r="38" spans="1:12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</row>
    <row r="39" spans="1:123">
      <c r="A39" s="1"/>
      <c r="B39" s="1"/>
      <c r="C39" s="3" t="s">
        <v>15</v>
      </c>
      <c r="D39" s="3" t="s">
        <v>17</v>
      </c>
      <c r="E39" s="3" t="s">
        <v>22</v>
      </c>
      <c r="F39" s="3" t="s">
        <v>24</v>
      </c>
      <c r="G39" s="3" t="s">
        <v>26</v>
      </c>
      <c r="H39" s="3" t="s">
        <v>14</v>
      </c>
      <c r="I39" s="3" t="s">
        <v>29</v>
      </c>
      <c r="J39" s="3" t="s">
        <v>18</v>
      </c>
      <c r="K39" s="3" t="s">
        <v>32</v>
      </c>
      <c r="L39" s="3" t="s">
        <v>16</v>
      </c>
      <c r="M39" s="3" t="s">
        <v>34</v>
      </c>
      <c r="N39" s="3" t="s">
        <v>36</v>
      </c>
      <c r="O39" s="3" t="s">
        <v>38</v>
      </c>
      <c r="P39" s="3" t="s">
        <v>39</v>
      </c>
      <c r="Q39" s="3" t="s">
        <v>41</v>
      </c>
      <c r="R39" s="3" t="s">
        <v>43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 t="s">
        <v>2</v>
      </c>
      <c r="BK39" s="1" t="s">
        <v>9</v>
      </c>
      <c r="BL39" s="1" t="s">
        <v>5</v>
      </c>
      <c r="BM39" s="1" t="s">
        <v>10</v>
      </c>
      <c r="BN39" s="1" t="s">
        <v>12</v>
      </c>
      <c r="BO39" s="1" t="s">
        <v>13</v>
      </c>
      <c r="BP39" s="1" t="s">
        <v>6</v>
      </c>
      <c r="BQ39" s="1" t="s">
        <v>19</v>
      </c>
      <c r="BR39" s="1" t="s">
        <v>4</v>
      </c>
      <c r="BS39" s="1" t="s">
        <v>20</v>
      </c>
      <c r="BT39" s="1" t="s">
        <v>21</v>
      </c>
      <c r="BU39" s="1" t="s">
        <v>23</v>
      </c>
      <c r="BV39" s="1" t="s">
        <v>25</v>
      </c>
      <c r="BW39" s="1" t="s">
        <v>27</v>
      </c>
      <c r="BX39" s="1" t="s">
        <v>28</v>
      </c>
      <c r="BY39" s="1" t="s">
        <v>30</v>
      </c>
      <c r="BZ39" s="1" t="s">
        <v>31</v>
      </c>
      <c r="CA39" s="1" t="s">
        <v>33</v>
      </c>
      <c r="CB39" s="1" t="s">
        <v>7</v>
      </c>
      <c r="CC39" s="1" t="s">
        <v>35</v>
      </c>
      <c r="CD39" s="1" t="s">
        <v>37</v>
      </c>
      <c r="CE39" s="1" t="s">
        <v>3</v>
      </c>
      <c r="CF39" s="1" t="s">
        <v>40</v>
      </c>
      <c r="CG39" s="1" t="s">
        <v>42</v>
      </c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</row>
    <row r="40" spans="1:123">
      <c r="A40" s="1"/>
      <c r="B40" s="1"/>
      <c r="C40" s="1" cm="1">
        <f t="array" ref="C40">_xlfn.SEQUENCE(1,16,0)</f>
        <v>0</v>
      </c>
      <c r="D40" s="1">
        <v>1</v>
      </c>
      <c r="E40" s="1">
        <v>2</v>
      </c>
      <c r="F40" s="1">
        <v>3</v>
      </c>
      <c r="G40" s="1">
        <v>4</v>
      </c>
      <c r="H40" s="1">
        <v>5</v>
      </c>
      <c r="I40" s="1">
        <v>6</v>
      </c>
      <c r="J40" s="1">
        <v>7</v>
      </c>
      <c r="K40" s="1">
        <v>8</v>
      </c>
      <c r="L40" s="1">
        <v>9</v>
      </c>
      <c r="M40" s="1">
        <v>10</v>
      </c>
      <c r="N40" s="3">
        <v>11</v>
      </c>
      <c r="O40" s="3">
        <v>12</v>
      </c>
      <c r="P40" s="3">
        <v>13</v>
      </c>
      <c r="Q40" s="3">
        <v>14</v>
      </c>
      <c r="R40" s="3">
        <v>15</v>
      </c>
      <c r="S40" s="1"/>
      <c r="T40" s="1"/>
      <c r="U40" s="1"/>
      <c r="V40" s="1"/>
      <c r="W40" s="1"/>
      <c r="X40" s="1"/>
      <c r="Y40" s="1"/>
      <c r="Z40" s="1" t="s">
        <v>44</v>
      </c>
      <c r="AA40" s="1" t="s">
        <v>44</v>
      </c>
      <c r="AB40" s="1" t="s">
        <v>44</v>
      </c>
      <c r="AC40" s="1" t="s">
        <v>44</v>
      </c>
      <c r="AD40" s="1" t="s">
        <v>44</v>
      </c>
      <c r="AE40" s="1" t="s">
        <v>44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 cm="1">
        <f t="array" ref="BJ40">_xlfn.SEQUENCE(1,24,0)</f>
        <v>0</v>
      </c>
      <c r="BK40" s="1">
        <v>1</v>
      </c>
      <c r="BL40" s="1">
        <v>2</v>
      </c>
      <c r="BM40" s="1">
        <v>3</v>
      </c>
      <c r="BN40" s="1">
        <v>4</v>
      </c>
      <c r="BO40" s="1">
        <v>5</v>
      </c>
      <c r="BP40" s="1">
        <v>6</v>
      </c>
      <c r="BQ40" s="1">
        <v>7</v>
      </c>
      <c r="BR40" s="1">
        <v>8</v>
      </c>
      <c r="BS40" s="1">
        <v>9</v>
      </c>
      <c r="BT40" s="1">
        <v>10</v>
      </c>
      <c r="BU40" s="1">
        <v>11</v>
      </c>
      <c r="BV40" s="1">
        <v>12</v>
      </c>
      <c r="BW40" s="1">
        <v>13</v>
      </c>
      <c r="BX40" s="1">
        <v>14</v>
      </c>
      <c r="BY40" s="1">
        <v>15</v>
      </c>
      <c r="BZ40" s="1">
        <v>16</v>
      </c>
      <c r="CA40" s="1">
        <v>17</v>
      </c>
      <c r="CB40" s="1">
        <v>18</v>
      </c>
      <c r="CC40" s="1">
        <v>19</v>
      </c>
      <c r="CD40" s="1">
        <v>20</v>
      </c>
      <c r="CE40" s="1">
        <v>21</v>
      </c>
      <c r="CF40" s="1">
        <v>22</v>
      </c>
      <c r="CG40" s="1">
        <v>23</v>
      </c>
      <c r="CH40" s="1"/>
      <c r="CI40" s="1"/>
      <c r="CJ40" s="1"/>
      <c r="CK40" s="1"/>
      <c r="CL40" s="1" t="s">
        <v>44</v>
      </c>
      <c r="CM40" s="1" t="s">
        <v>44</v>
      </c>
      <c r="CN40" s="1" t="s">
        <v>44</v>
      </c>
      <c r="CO40" s="1" t="s">
        <v>44</v>
      </c>
      <c r="CP40" s="1" t="s">
        <v>44</v>
      </c>
      <c r="CQ40" s="1" t="s">
        <v>44</v>
      </c>
      <c r="CR40" s="1" t="s">
        <v>44</v>
      </c>
      <c r="CS40" s="1" t="s">
        <v>44</v>
      </c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</row>
    <row r="41" spans="1:123">
      <c r="A41" s="1"/>
      <c r="B41" s="1"/>
      <c r="C41" s="1">
        <v>3</v>
      </c>
      <c r="D41" s="1">
        <v>0</v>
      </c>
      <c r="E41" s="1">
        <v>2</v>
      </c>
      <c r="F41" s="1">
        <v>1</v>
      </c>
      <c r="G41" s="1">
        <v>2</v>
      </c>
      <c r="H41" s="1">
        <v>3</v>
      </c>
      <c r="I41" s="1">
        <v>2</v>
      </c>
      <c r="J41" s="1">
        <v>2</v>
      </c>
      <c r="K41" s="1">
        <v>3</v>
      </c>
      <c r="L41" s="1">
        <v>0</v>
      </c>
      <c r="M41" s="1">
        <v>1</v>
      </c>
      <c r="N41" s="1">
        <v>0</v>
      </c>
      <c r="O41" s="1">
        <v>0</v>
      </c>
      <c r="P41" s="1">
        <v>0</v>
      </c>
      <c r="Q41" s="1">
        <v>0</v>
      </c>
      <c r="R41" s="1">
        <v>1</v>
      </c>
      <c r="S41" s="1" t="s">
        <v>45</v>
      </c>
      <c r="T41" s="1"/>
      <c r="U41" s="1"/>
      <c r="V41" s="1"/>
      <c r="W41" s="1"/>
      <c r="X41" s="1"/>
      <c r="Y41" s="1"/>
      <c r="Z41" s="1">
        <f>MMULT(C41:R45,Z21:AE36)</f>
        <v>0</v>
      </c>
      <c r="AA41" s="1">
        <v>3</v>
      </c>
      <c r="AB41" s="1">
        <v>0</v>
      </c>
      <c r="AC41" s="1">
        <v>3</v>
      </c>
      <c r="AD41" s="1">
        <v>0</v>
      </c>
      <c r="AE41" s="1">
        <v>2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>
        <v>3</v>
      </c>
      <c r="BK41" s="1">
        <v>0</v>
      </c>
      <c r="BL41" s="1">
        <v>2</v>
      </c>
      <c r="BM41" s="1">
        <v>1</v>
      </c>
      <c r="BN41" s="1">
        <v>2</v>
      </c>
      <c r="BO41" s="1">
        <v>3</v>
      </c>
      <c r="BP41" s="1">
        <v>2</v>
      </c>
      <c r="BQ41" s="1">
        <v>2</v>
      </c>
      <c r="BR41" s="1">
        <v>3</v>
      </c>
      <c r="BS41" s="1">
        <v>0</v>
      </c>
      <c r="BT41" s="1">
        <v>2</v>
      </c>
      <c r="BU41" s="1">
        <v>2</v>
      </c>
      <c r="BV41" s="1">
        <v>0</v>
      </c>
      <c r="BW41" s="1">
        <v>2</v>
      </c>
      <c r="BX41" s="1">
        <v>2</v>
      </c>
      <c r="BY41" s="1">
        <v>2</v>
      </c>
      <c r="BZ41" s="1">
        <v>0</v>
      </c>
      <c r="CA41" s="1">
        <v>0</v>
      </c>
      <c r="CB41" s="1">
        <v>0</v>
      </c>
      <c r="CC41" s="1">
        <v>2</v>
      </c>
      <c r="CD41" s="1">
        <v>2</v>
      </c>
      <c r="CE41" s="1">
        <v>0</v>
      </c>
      <c r="CF41" s="1">
        <v>3</v>
      </c>
      <c r="CG41" s="1">
        <v>3</v>
      </c>
      <c r="CH41" s="1" t="s">
        <v>45</v>
      </c>
      <c r="CI41" s="1"/>
      <c r="CJ41" s="1"/>
      <c r="CK41" s="1"/>
      <c r="CL41" s="1">
        <f>MMULT($BJ41:$CG46,CL12:CS35)</f>
        <v>0</v>
      </c>
      <c r="CM41" s="1">
        <v>0</v>
      </c>
      <c r="CN41" s="1">
        <v>3</v>
      </c>
      <c r="CO41" s="1">
        <v>2</v>
      </c>
      <c r="CP41" s="1">
        <v>2</v>
      </c>
      <c r="CQ41" s="1">
        <v>0</v>
      </c>
      <c r="CR41" s="1">
        <v>0</v>
      </c>
      <c r="CS41" s="1">
        <v>0</v>
      </c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</row>
    <row r="42" spans="1:123">
      <c r="A42" s="1"/>
      <c r="B42" s="1"/>
      <c r="C42" s="1">
        <v>0</v>
      </c>
      <c r="D42" s="1">
        <v>3</v>
      </c>
      <c r="E42" s="1">
        <v>0</v>
      </c>
      <c r="F42" s="1">
        <v>3</v>
      </c>
      <c r="G42" s="1">
        <v>0</v>
      </c>
      <c r="H42" s="1">
        <v>2</v>
      </c>
      <c r="I42" s="1">
        <v>2</v>
      </c>
      <c r="J42" s="1">
        <v>1</v>
      </c>
      <c r="K42" s="1">
        <v>1</v>
      </c>
      <c r="L42" s="1">
        <v>3</v>
      </c>
      <c r="M42" s="1">
        <v>0</v>
      </c>
      <c r="N42" s="1">
        <v>1</v>
      </c>
      <c r="O42" s="1">
        <v>1</v>
      </c>
      <c r="P42" s="1">
        <v>0</v>
      </c>
      <c r="Q42" s="1">
        <v>1</v>
      </c>
      <c r="R42" s="1">
        <v>0</v>
      </c>
      <c r="S42" s="1" t="s">
        <v>45</v>
      </c>
      <c r="T42" s="1"/>
      <c r="U42" s="1"/>
      <c r="V42" s="1"/>
      <c r="W42" s="1"/>
      <c r="X42" s="1"/>
      <c r="Y42" s="1"/>
      <c r="Z42" s="1">
        <v>2</v>
      </c>
      <c r="AA42" s="1">
        <v>0</v>
      </c>
      <c r="AB42" s="1">
        <v>3</v>
      </c>
      <c r="AC42" s="1">
        <v>2</v>
      </c>
      <c r="AD42" s="1">
        <v>3</v>
      </c>
      <c r="AE42" s="1">
        <v>1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>
        <v>0</v>
      </c>
      <c r="BK42" s="1">
        <v>3</v>
      </c>
      <c r="BL42" s="1">
        <v>0</v>
      </c>
      <c r="BM42" s="1">
        <v>3</v>
      </c>
      <c r="BN42" s="1">
        <v>0</v>
      </c>
      <c r="BO42" s="1">
        <v>2</v>
      </c>
      <c r="BP42" s="1">
        <v>2</v>
      </c>
      <c r="BQ42" s="1">
        <v>1</v>
      </c>
      <c r="BR42" s="1">
        <v>1</v>
      </c>
      <c r="BS42" s="1">
        <v>3</v>
      </c>
      <c r="BT42" s="1">
        <v>3</v>
      </c>
      <c r="BU42" s="1">
        <v>1</v>
      </c>
      <c r="BV42" s="1">
        <v>0</v>
      </c>
      <c r="BW42" s="1">
        <v>1</v>
      </c>
      <c r="BX42" s="1">
        <v>0</v>
      </c>
      <c r="BY42" s="1">
        <v>3</v>
      </c>
      <c r="BZ42" s="1">
        <v>2</v>
      </c>
      <c r="CA42" s="1">
        <v>0</v>
      </c>
      <c r="CB42" s="1">
        <v>1</v>
      </c>
      <c r="CC42" s="1">
        <v>1</v>
      </c>
      <c r="CD42" s="1">
        <v>1</v>
      </c>
      <c r="CE42" s="1">
        <v>3</v>
      </c>
      <c r="CF42" s="1">
        <v>3</v>
      </c>
      <c r="CG42" s="1">
        <v>0</v>
      </c>
      <c r="CH42" s="1" t="s">
        <v>45</v>
      </c>
      <c r="CI42" s="1"/>
      <c r="CJ42" s="1"/>
      <c r="CK42" s="1"/>
      <c r="CL42" s="1">
        <v>0</v>
      </c>
      <c r="CM42" s="1">
        <v>3</v>
      </c>
      <c r="CN42" s="1">
        <v>1</v>
      </c>
      <c r="CO42" s="1">
        <v>0</v>
      </c>
      <c r="CP42" s="1">
        <v>2</v>
      </c>
      <c r="CQ42" s="1">
        <v>1</v>
      </c>
      <c r="CR42" s="1">
        <v>0</v>
      </c>
      <c r="CS42" s="1">
        <v>0</v>
      </c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</row>
    <row r="43" spans="1:123">
      <c r="A43" s="1"/>
      <c r="B43" s="1"/>
      <c r="C43" s="1">
        <v>0</v>
      </c>
      <c r="D43" s="1">
        <v>1</v>
      </c>
      <c r="E43" s="1">
        <v>1</v>
      </c>
      <c r="F43" s="1">
        <v>2</v>
      </c>
      <c r="G43" s="1">
        <v>3</v>
      </c>
      <c r="H43" s="1">
        <v>1</v>
      </c>
      <c r="I43" s="1">
        <v>1</v>
      </c>
      <c r="J43" s="1">
        <v>3</v>
      </c>
      <c r="K43" s="1">
        <v>0</v>
      </c>
      <c r="L43" s="1">
        <v>1</v>
      </c>
      <c r="M43" s="1">
        <v>1</v>
      </c>
      <c r="N43" s="1">
        <v>0</v>
      </c>
      <c r="O43" s="1">
        <v>1</v>
      </c>
      <c r="P43" s="1">
        <v>1</v>
      </c>
      <c r="Q43" s="1">
        <v>0</v>
      </c>
      <c r="R43" s="1">
        <v>1</v>
      </c>
      <c r="S43" s="1" t="s">
        <v>45</v>
      </c>
      <c r="T43" s="1"/>
      <c r="U43" s="1"/>
      <c r="V43" s="1"/>
      <c r="W43" s="1"/>
      <c r="X43" s="1"/>
      <c r="Y43" s="1"/>
      <c r="Z43" s="1">
        <v>1</v>
      </c>
      <c r="AA43" s="1">
        <v>0</v>
      </c>
      <c r="AB43" s="1">
        <v>1</v>
      </c>
      <c r="AC43" s="1">
        <v>1</v>
      </c>
      <c r="AD43" s="1">
        <v>1</v>
      </c>
      <c r="AE43" s="1">
        <v>3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>
        <v>0</v>
      </c>
      <c r="BK43" s="1">
        <v>1</v>
      </c>
      <c r="BL43" s="1">
        <v>1</v>
      </c>
      <c r="BM43" s="1">
        <v>2</v>
      </c>
      <c r="BN43" s="1">
        <v>3</v>
      </c>
      <c r="BO43" s="1">
        <v>1</v>
      </c>
      <c r="BP43" s="1">
        <v>1</v>
      </c>
      <c r="BQ43" s="1">
        <v>3</v>
      </c>
      <c r="BR43" s="1">
        <v>0</v>
      </c>
      <c r="BS43" s="1">
        <v>1</v>
      </c>
      <c r="BT43" s="1">
        <v>0</v>
      </c>
      <c r="BU43" s="1">
        <v>0</v>
      </c>
      <c r="BV43" s="1">
        <v>3</v>
      </c>
      <c r="BW43" s="1">
        <v>1</v>
      </c>
      <c r="BX43" s="1">
        <v>3</v>
      </c>
      <c r="BY43" s="1">
        <v>2</v>
      </c>
      <c r="BZ43" s="1">
        <v>1</v>
      </c>
      <c r="CA43" s="1">
        <v>3</v>
      </c>
      <c r="CB43" s="1">
        <v>1</v>
      </c>
      <c r="CC43" s="1">
        <v>0</v>
      </c>
      <c r="CD43" s="1">
        <v>3</v>
      </c>
      <c r="CE43" s="1">
        <v>2</v>
      </c>
      <c r="CF43" s="1">
        <v>3</v>
      </c>
      <c r="CG43" s="1">
        <v>0</v>
      </c>
      <c r="CH43" s="1" t="s">
        <v>45</v>
      </c>
      <c r="CI43" s="1"/>
      <c r="CJ43" s="1"/>
      <c r="CK43" s="1"/>
      <c r="CL43" s="1">
        <v>0</v>
      </c>
      <c r="CM43" s="1">
        <v>2</v>
      </c>
      <c r="CN43" s="1">
        <v>0</v>
      </c>
      <c r="CO43" s="1">
        <v>1</v>
      </c>
      <c r="CP43" s="1">
        <v>1</v>
      </c>
      <c r="CQ43" s="1">
        <v>1</v>
      </c>
      <c r="CR43" s="1">
        <v>0</v>
      </c>
      <c r="CS43" s="1">
        <v>0</v>
      </c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</row>
    <row r="44" spans="1:123">
      <c r="A44" s="1"/>
      <c r="B44" s="1"/>
      <c r="C44" s="1">
        <v>1</v>
      </c>
      <c r="D44" s="1">
        <v>1</v>
      </c>
      <c r="E44" s="1">
        <v>3</v>
      </c>
      <c r="F44" s="1">
        <v>3</v>
      </c>
      <c r="G44" s="1">
        <v>3</v>
      </c>
      <c r="H44" s="1">
        <v>3</v>
      </c>
      <c r="I44" s="1">
        <v>2</v>
      </c>
      <c r="J44" s="1">
        <v>1</v>
      </c>
      <c r="K44" s="1">
        <v>3</v>
      </c>
      <c r="L44" s="1">
        <v>2</v>
      </c>
      <c r="M44" s="1">
        <v>1</v>
      </c>
      <c r="N44" s="1">
        <v>1</v>
      </c>
      <c r="O44" s="1">
        <v>0</v>
      </c>
      <c r="P44" s="1">
        <v>1</v>
      </c>
      <c r="Q44" s="1">
        <v>1</v>
      </c>
      <c r="R44" s="1">
        <v>0</v>
      </c>
      <c r="S44" s="1" t="s">
        <v>45</v>
      </c>
      <c r="T44" s="1"/>
      <c r="U44" s="1"/>
      <c r="V44" s="1"/>
      <c r="W44" s="1"/>
      <c r="X44" s="1"/>
      <c r="Y44" s="1"/>
      <c r="Z44" s="1">
        <v>3</v>
      </c>
      <c r="AA44" s="1">
        <v>1</v>
      </c>
      <c r="AB44" s="1">
        <v>2</v>
      </c>
      <c r="AC44" s="1">
        <v>3</v>
      </c>
      <c r="AD44" s="1">
        <v>1</v>
      </c>
      <c r="AE44" s="1">
        <v>1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>
        <v>1</v>
      </c>
      <c r="BK44" s="1">
        <v>1</v>
      </c>
      <c r="BL44" s="1">
        <v>3</v>
      </c>
      <c r="BM44" s="1">
        <v>3</v>
      </c>
      <c r="BN44" s="1">
        <v>3</v>
      </c>
      <c r="BO44" s="1">
        <v>3</v>
      </c>
      <c r="BP44" s="1">
        <v>2</v>
      </c>
      <c r="BQ44" s="1">
        <v>1</v>
      </c>
      <c r="BR44" s="1">
        <v>3</v>
      </c>
      <c r="BS44" s="1">
        <v>2</v>
      </c>
      <c r="BT44" s="1">
        <v>0</v>
      </c>
      <c r="BU44" s="1">
        <v>2</v>
      </c>
      <c r="BV44" s="1">
        <v>2</v>
      </c>
      <c r="BW44" s="1">
        <v>3</v>
      </c>
      <c r="BX44" s="1">
        <v>2</v>
      </c>
      <c r="BY44" s="1">
        <v>3</v>
      </c>
      <c r="BZ44" s="1">
        <v>1</v>
      </c>
      <c r="CA44" s="1">
        <v>2</v>
      </c>
      <c r="CB44" s="1">
        <v>3</v>
      </c>
      <c r="CC44" s="1">
        <v>1</v>
      </c>
      <c r="CD44" s="1">
        <v>2</v>
      </c>
      <c r="CE44" s="1">
        <v>3</v>
      </c>
      <c r="CF44" s="1">
        <v>2</v>
      </c>
      <c r="CG44" s="1">
        <v>2</v>
      </c>
      <c r="CH44" s="1" t="s">
        <v>45</v>
      </c>
      <c r="CI44" s="1"/>
      <c r="CJ44" s="1"/>
      <c r="CK44" s="1"/>
      <c r="CL44" s="1">
        <v>1</v>
      </c>
      <c r="CM44" s="1">
        <v>3</v>
      </c>
      <c r="CN44" s="1">
        <v>3</v>
      </c>
      <c r="CO44" s="1">
        <v>3</v>
      </c>
      <c r="CP44" s="1">
        <v>2</v>
      </c>
      <c r="CQ44" s="1">
        <v>3</v>
      </c>
      <c r="CR44" s="1">
        <v>0</v>
      </c>
      <c r="CS44" s="1">
        <v>0</v>
      </c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</row>
    <row r="45" spans="1:123">
      <c r="A45" s="1"/>
      <c r="B45" s="1"/>
      <c r="C45" s="1">
        <v>3</v>
      </c>
      <c r="D45" s="1">
        <v>1</v>
      </c>
      <c r="E45" s="1">
        <v>0</v>
      </c>
      <c r="F45" s="1">
        <v>3</v>
      </c>
      <c r="G45" s="1">
        <v>0</v>
      </c>
      <c r="H45" s="1">
        <v>2</v>
      </c>
      <c r="I45" s="1">
        <v>3</v>
      </c>
      <c r="J45" s="1">
        <v>2</v>
      </c>
      <c r="K45" s="1">
        <v>2</v>
      </c>
      <c r="L45" s="1">
        <v>2</v>
      </c>
      <c r="M45" s="1">
        <v>0</v>
      </c>
      <c r="N45" s="1">
        <v>0</v>
      </c>
      <c r="O45" s="1">
        <v>0</v>
      </c>
      <c r="P45" s="1">
        <v>1</v>
      </c>
      <c r="Q45" s="1">
        <v>0</v>
      </c>
      <c r="R45" s="1">
        <v>0</v>
      </c>
      <c r="S45" s="1" t="s">
        <v>45</v>
      </c>
      <c r="T45" s="1"/>
      <c r="U45" s="1"/>
      <c r="V45" s="1"/>
      <c r="W45" s="1"/>
      <c r="X45" s="1"/>
      <c r="Y45" s="1"/>
      <c r="Z45" s="1">
        <v>2</v>
      </c>
      <c r="AA45" s="1">
        <v>3</v>
      </c>
      <c r="AB45" s="1">
        <v>2</v>
      </c>
      <c r="AC45" s="1">
        <v>2</v>
      </c>
      <c r="AD45" s="1">
        <v>1</v>
      </c>
      <c r="AE45" s="1">
        <v>2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>
        <v>3</v>
      </c>
      <c r="BK45" s="1">
        <v>1</v>
      </c>
      <c r="BL45" s="1">
        <v>0</v>
      </c>
      <c r="BM45" s="1">
        <v>3</v>
      </c>
      <c r="BN45" s="1">
        <v>0</v>
      </c>
      <c r="BO45" s="1">
        <v>2</v>
      </c>
      <c r="BP45" s="1">
        <v>3</v>
      </c>
      <c r="BQ45" s="1">
        <v>2</v>
      </c>
      <c r="BR45" s="1">
        <v>2</v>
      </c>
      <c r="BS45" s="1">
        <v>2</v>
      </c>
      <c r="BT45" s="1">
        <v>3</v>
      </c>
      <c r="BU45" s="1">
        <v>2</v>
      </c>
      <c r="BV45" s="1">
        <v>1</v>
      </c>
      <c r="BW45" s="1">
        <v>3</v>
      </c>
      <c r="BX45" s="1">
        <v>2</v>
      </c>
      <c r="BY45" s="1">
        <v>3</v>
      </c>
      <c r="BZ45" s="1">
        <v>2</v>
      </c>
      <c r="CA45" s="1">
        <v>3</v>
      </c>
      <c r="CB45" s="1">
        <v>1</v>
      </c>
      <c r="CC45" s="1">
        <v>2</v>
      </c>
      <c r="CD45" s="1">
        <v>1</v>
      </c>
      <c r="CE45" s="1">
        <v>0</v>
      </c>
      <c r="CF45" s="1">
        <v>1</v>
      </c>
      <c r="CG45" s="1">
        <v>2</v>
      </c>
      <c r="CH45" s="1" t="s">
        <v>45</v>
      </c>
      <c r="CI45" s="1"/>
      <c r="CJ45" s="1"/>
      <c r="CK45" s="1"/>
      <c r="CL45" s="1">
        <v>3</v>
      </c>
      <c r="CM45" s="1">
        <v>0</v>
      </c>
      <c r="CN45" s="1">
        <v>2</v>
      </c>
      <c r="CO45" s="1">
        <v>0</v>
      </c>
      <c r="CP45" s="1">
        <v>3</v>
      </c>
      <c r="CQ45" s="1">
        <v>1</v>
      </c>
      <c r="CR45" s="1">
        <v>0</v>
      </c>
      <c r="CS45" s="1">
        <v>0</v>
      </c>
      <c r="CT45" s="1"/>
      <c r="CU45" s="1"/>
      <c r="CV45" s="1"/>
      <c r="CW45" s="1"/>
      <c r="CX45" s="1"/>
      <c r="CY45" s="1"/>
      <c r="CZ45" s="1"/>
      <c r="DA45" s="2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</row>
    <row r="46" spans="1:12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>
        <v>1</v>
      </c>
      <c r="BK46" s="1">
        <v>3</v>
      </c>
      <c r="BL46" s="1">
        <v>2</v>
      </c>
      <c r="BM46" s="1">
        <v>1</v>
      </c>
      <c r="BN46" s="1">
        <v>1</v>
      </c>
      <c r="BO46" s="1">
        <v>2</v>
      </c>
      <c r="BP46" s="1">
        <v>1</v>
      </c>
      <c r="BQ46" s="1">
        <v>2</v>
      </c>
      <c r="BR46" s="1">
        <v>1</v>
      </c>
      <c r="BS46" s="1">
        <v>1</v>
      </c>
      <c r="BT46" s="1">
        <v>1</v>
      </c>
      <c r="BU46" s="1">
        <v>2</v>
      </c>
      <c r="BV46" s="1">
        <v>2</v>
      </c>
      <c r="BW46" s="1">
        <v>3</v>
      </c>
      <c r="BX46" s="1">
        <v>3</v>
      </c>
      <c r="BY46" s="1">
        <v>1</v>
      </c>
      <c r="BZ46" s="1">
        <v>3</v>
      </c>
      <c r="CA46" s="1">
        <v>1</v>
      </c>
      <c r="CB46" s="1">
        <v>2</v>
      </c>
      <c r="CC46" s="1">
        <v>0</v>
      </c>
      <c r="CD46" s="1">
        <v>3</v>
      </c>
      <c r="CE46" s="1">
        <v>1</v>
      </c>
      <c r="CF46" s="1">
        <v>2</v>
      </c>
      <c r="CG46" s="1">
        <v>1</v>
      </c>
      <c r="CH46" s="1" t="s">
        <v>45</v>
      </c>
      <c r="CI46" s="1"/>
      <c r="CJ46" s="1"/>
      <c r="CK46" s="1"/>
      <c r="CL46" s="1">
        <v>1</v>
      </c>
      <c r="CM46" s="1">
        <v>1</v>
      </c>
      <c r="CN46" s="1">
        <v>1</v>
      </c>
      <c r="CO46" s="1">
        <v>2</v>
      </c>
      <c r="CP46" s="1">
        <v>1</v>
      </c>
      <c r="CQ46" s="1">
        <v>2</v>
      </c>
      <c r="CR46" s="1">
        <v>0</v>
      </c>
      <c r="CS46" s="1">
        <v>0</v>
      </c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</row>
    <row r="47" spans="1:12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</row>
    <row r="48" spans="1:123">
      <c r="A48" s="1"/>
      <c r="B48" s="1"/>
      <c r="C48" s="1"/>
      <c r="D48" s="1"/>
      <c r="E48" s="1"/>
      <c r="F48" s="1"/>
      <c r="G48" s="1"/>
      <c r="H48" s="2" t="s">
        <v>46</v>
      </c>
      <c r="I48" s="1"/>
      <c r="J48" s="1"/>
      <c r="K48" s="1"/>
      <c r="L48" s="1"/>
      <c r="M48" s="1"/>
      <c r="N48" s="1" t="s">
        <v>8</v>
      </c>
      <c r="O48" s="1">
        <v>0</v>
      </c>
      <c r="P48" s="1">
        <v>1</v>
      </c>
      <c r="Q48" s="1">
        <v>2</v>
      </c>
      <c r="R48" s="1">
        <v>3</v>
      </c>
      <c r="S48" s="1">
        <v>4</v>
      </c>
      <c r="T48" s="1">
        <v>5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3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</row>
    <row r="49" spans="1:123">
      <c r="A49" s="1"/>
      <c r="B49" s="1"/>
      <c r="C49" s="1"/>
      <c r="D49" s="1"/>
      <c r="E49" s="1"/>
      <c r="F49" s="1"/>
      <c r="G49" s="1"/>
      <c r="H49" s="2" t="s">
        <v>47</v>
      </c>
      <c r="I49" s="1"/>
      <c r="J49" s="1"/>
      <c r="K49" s="1"/>
      <c r="L49" s="1"/>
      <c r="M49" s="1" t="s">
        <v>48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</row>
    <row r="50" spans="1:12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>
        <v>0</v>
      </c>
      <c r="N50" s="1"/>
      <c r="O50" s="4">
        <f>PE(5,6,100)</f>
        <v>0</v>
      </c>
      <c r="P50" s="4">
        <v>0.987466835729271</v>
      </c>
      <c r="Q50" s="4">
        <v>0.9980101244317693</v>
      </c>
      <c r="R50" s="4">
        <v>0.9996845379152098</v>
      </c>
      <c r="S50" s="4">
        <v>0.9999500004166653</v>
      </c>
      <c r="T50" s="4">
        <v>0.9999920755445039</v>
      </c>
      <c r="U50" s="1"/>
      <c r="V50" s="1"/>
      <c r="W50" s="1"/>
      <c r="X50" s="1"/>
      <c r="Y50" s="1"/>
      <c r="Z50" s="1" cm="1">
        <f t="array" ref="Z50">O50:T54+_xlfn.ANCHORARRAY(Z41)</f>
        <v>0</v>
      </c>
      <c r="AA50" s="1">
        <v>3.987466835729271</v>
      </c>
      <c r="AB50" s="1">
        <v>0.9980101244317693</v>
      </c>
      <c r="AC50" s="1">
        <v>3.99968453791521</v>
      </c>
      <c r="AD50" s="1">
        <v>0.9999500004166653</v>
      </c>
      <c r="AE50" s="1">
        <v>2.9999920755445038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2" t="s">
        <v>46</v>
      </c>
      <c r="BT50" s="1"/>
      <c r="BU50" s="1"/>
      <c r="BV50" s="1"/>
      <c r="BW50" s="1"/>
      <c r="BX50" s="1"/>
      <c r="BY50" s="1" t="s">
        <v>8</v>
      </c>
      <c r="BZ50" s="1">
        <v>0</v>
      </c>
      <c r="CA50" s="1">
        <v>1</v>
      </c>
      <c r="CB50" s="1">
        <v>2</v>
      </c>
      <c r="CC50" s="1">
        <v>3</v>
      </c>
      <c r="CD50" s="1">
        <v>4</v>
      </c>
      <c r="CE50" s="1">
        <v>5</v>
      </c>
      <c r="CF50" s="1">
        <v>6</v>
      </c>
      <c r="CG50" s="1">
        <v>7</v>
      </c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</row>
    <row r="51" spans="1:12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>
        <v>1</v>
      </c>
      <c r="N51" s="1"/>
      <c r="O51" s="4">
        <v>0.7147134629637895</v>
      </c>
      <c r="P51" s="4">
        <v>0.3116971458465109</v>
      </c>
      <c r="Q51" s="4">
        <v>0.12585681727075312</v>
      </c>
      <c r="R51" s="4">
        <v>0.05021659938746518</v>
      </c>
      <c r="S51" s="4">
        <v>0.01999866669333308</v>
      </c>
      <c r="T51" s="4">
        <v>0.007962059283690679</v>
      </c>
      <c r="U51" s="1"/>
      <c r="V51" s="1"/>
      <c r="W51" s="1"/>
      <c r="X51" s="1"/>
      <c r="Y51" s="1"/>
      <c r="Z51" s="1">
        <v>2.7147134629637897</v>
      </c>
      <c r="AA51" s="1">
        <v>0.3116971458465109</v>
      </c>
      <c r="AB51" s="1">
        <v>3.125856817270753</v>
      </c>
      <c r="AC51" s="1">
        <v>2.0502165993874653</v>
      </c>
      <c r="AD51" s="1">
        <v>3.019998666693333</v>
      </c>
      <c r="AE51" s="1">
        <v>1.0079620592836906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2" t="s">
        <v>47</v>
      </c>
      <c r="BT51" s="1"/>
      <c r="BU51" s="1"/>
      <c r="BV51" s="1"/>
      <c r="BW51" s="1"/>
      <c r="BX51" s="1" t="s">
        <v>48</v>
      </c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</row>
    <row r="52" spans="1:12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>
        <v>2</v>
      </c>
      <c r="N52" s="1"/>
      <c r="O52" s="4">
        <v>0.36764445697614095</v>
      </c>
      <c r="P52" s="4">
        <v>0.8890786091949495</v>
      </c>
      <c r="Q52" s="4">
        <v>0.982138603626765</v>
      </c>
      <c r="R52" s="4">
        <v>0.997162035307237</v>
      </c>
      <c r="S52" s="4">
        <v>0.9995500337489875</v>
      </c>
      <c r="T52" s="4">
        <v>0.9999286806540969</v>
      </c>
      <c r="U52" s="1"/>
      <c r="V52" s="1"/>
      <c r="W52" s="1"/>
      <c r="X52" s="1"/>
      <c r="Y52" s="1"/>
      <c r="Z52" s="1">
        <v>1.367644456976141</v>
      </c>
      <c r="AA52" s="1">
        <v>0.8890786091949495</v>
      </c>
      <c r="AB52" s="1">
        <v>1.982138603626765</v>
      </c>
      <c r="AC52" s="1">
        <v>1.997162035307237</v>
      </c>
      <c r="AD52" s="1">
        <v>1.9995500337489875</v>
      </c>
      <c r="AE52" s="1">
        <v>3.999928680654097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>
        <v>0</v>
      </c>
      <c r="BY52" s="1"/>
      <c r="BZ52" s="4">
        <f>PE(6,8,10)</f>
        <v>0</v>
      </c>
      <c r="CA52" s="4">
        <v>0.8941984252625544</v>
      </c>
      <c r="CB52" s="4">
        <v>0.9504152802551828</v>
      </c>
      <c r="CC52" s="4">
        <v>0.9768816851701912</v>
      </c>
      <c r="CD52" s="4">
        <v>0.9892471526197671</v>
      </c>
      <c r="CE52" s="4">
        <v>0.9950041652780258</v>
      </c>
      <c r="CF52" s="4">
        <v>0.9976801031254371</v>
      </c>
      <c r="CG52" s="4">
        <v>0.9989229760406304</v>
      </c>
      <c r="CH52" s="1"/>
      <c r="CI52" s="1"/>
      <c r="CJ52" s="1"/>
      <c r="CK52" s="1"/>
      <c r="CL52" s="1" cm="1">
        <f t="array" ref="CL52">$BZ52:$CG57+_xlfn.ANCHORARRAY(CL41)</f>
        <v>0</v>
      </c>
      <c r="CM52" s="1">
        <v>0.8941984252625544</v>
      </c>
      <c r="CN52" s="1">
        <v>3.950415280255183</v>
      </c>
      <c r="CO52" s="1">
        <v>2.9768816851701914</v>
      </c>
      <c r="CP52" s="1">
        <v>2.9892471526197673</v>
      </c>
      <c r="CQ52" s="1">
        <v>0.9950041652780258</v>
      </c>
      <c r="CR52" s="1">
        <v>0.9976801031254371</v>
      </c>
      <c r="CS52" s="1">
        <v>0.9989229760406304</v>
      </c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</row>
    <row r="53" spans="1:12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>
        <v>3</v>
      </c>
      <c r="N53" s="1"/>
      <c r="O53" s="4">
        <v>0.999766029723762</v>
      </c>
      <c r="P53" s="4">
        <v>0.5923377252484391</v>
      </c>
      <c r="Q53" s="4">
        <v>0.24971211266826704</v>
      </c>
      <c r="R53" s="4">
        <v>0.10030648729934569</v>
      </c>
      <c r="S53" s="4">
        <v>0.03998933418663416</v>
      </c>
      <c r="T53" s="4">
        <v>0.015923613809505723</v>
      </c>
      <c r="U53" s="1"/>
      <c r="V53" s="1"/>
      <c r="W53" s="1"/>
      <c r="X53" s="1"/>
      <c r="Y53" s="1"/>
      <c r="Z53" s="1">
        <v>3.9997660297237623</v>
      </c>
      <c r="AA53" s="1">
        <v>1.5923377252484392</v>
      </c>
      <c r="AB53" s="1">
        <v>2.249712112668267</v>
      </c>
      <c r="AC53" s="1">
        <v>3.1003064872993455</v>
      </c>
      <c r="AD53" s="1">
        <v>1.0399893341866342</v>
      </c>
      <c r="AE53" s="1">
        <v>1.0159236138095058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>
        <v>1</v>
      </c>
      <c r="BY53" s="1"/>
      <c r="BZ53" s="4">
        <v>0.9784020384698515</v>
      </c>
      <c r="CA53" s="4">
        <v>0.8006131108833295</v>
      </c>
      <c r="CB53" s="4">
        <v>0.5911271172152932</v>
      </c>
      <c r="CC53" s="4">
        <v>0.4176768346258127</v>
      </c>
      <c r="CD53" s="4">
        <v>0.2893616138665053</v>
      </c>
      <c r="CE53" s="4">
        <v>0.19866933079506122</v>
      </c>
      <c r="CF53" s="4">
        <v>0.13583716803039253</v>
      </c>
      <c r="CG53" s="4">
        <v>0.09269850077872721</v>
      </c>
      <c r="CH53" s="1"/>
      <c r="CI53" s="1"/>
      <c r="CJ53" s="1"/>
      <c r="CK53" s="1"/>
      <c r="CL53" s="1">
        <v>0.9784020384698515</v>
      </c>
      <c r="CM53" s="1">
        <v>3.8006131108833294</v>
      </c>
      <c r="CN53" s="1">
        <v>1.5911271172152932</v>
      </c>
      <c r="CO53" s="1">
        <v>0.4176768346258127</v>
      </c>
      <c r="CP53" s="1">
        <v>2.289361613866505</v>
      </c>
      <c r="CQ53" s="1">
        <v>1.1986693307950613</v>
      </c>
      <c r="CR53" s="1">
        <v>0.13583716803039253</v>
      </c>
      <c r="CS53" s="1">
        <v>0.09269850077872721</v>
      </c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</row>
    <row r="54" spans="1:12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>
        <v>4</v>
      </c>
      <c r="N54" s="1"/>
      <c r="O54" s="4">
        <v>-0.4075226032759879</v>
      </c>
      <c r="P54" s="4">
        <v>0.7021052631981708</v>
      </c>
      <c r="Q54" s="4">
        <v>0.9506479694488024</v>
      </c>
      <c r="R54" s="4">
        <v>0.9921233951186236</v>
      </c>
      <c r="S54" s="4">
        <v>0.9987502603949663</v>
      </c>
      <c r="T54" s="4">
        <v>0.9998018948922269</v>
      </c>
      <c r="U54" s="1"/>
      <c r="V54" s="1"/>
      <c r="W54" s="1"/>
      <c r="X54" s="1"/>
      <c r="Y54" s="1"/>
      <c r="Z54" s="1">
        <v>1.592477396724012</v>
      </c>
      <c r="AA54" s="1">
        <v>3.702105263198171</v>
      </c>
      <c r="AB54" s="1">
        <v>2.950647969448802</v>
      </c>
      <c r="AC54" s="1">
        <v>2.9921233951186235</v>
      </c>
      <c r="AD54" s="1">
        <v>1.9987502603949663</v>
      </c>
      <c r="AE54" s="1">
        <v>2.9998018948922267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>
        <v>2</v>
      </c>
      <c r="BY54" s="1"/>
      <c r="BZ54" s="4">
        <v>-0.4556300567535832</v>
      </c>
      <c r="CA54" s="4">
        <v>0.17737614599039198</v>
      </c>
      <c r="CB54" s="4">
        <v>0.5827536107022249</v>
      </c>
      <c r="CC54" s="4">
        <v>0.798299221365841</v>
      </c>
      <c r="CD54" s="4">
        <v>0.9046068851621447</v>
      </c>
      <c r="CE54" s="4">
        <v>0.955336489125606</v>
      </c>
      <c r="CF54" s="4">
        <v>0.9791854612450255</v>
      </c>
      <c r="CG54" s="4">
        <v>0.990320699135675</v>
      </c>
      <c r="CH54" s="1"/>
      <c r="CI54" s="1"/>
      <c r="CJ54" s="1"/>
      <c r="CK54" s="1"/>
      <c r="CL54" s="1">
        <v>-0.4556300567535832</v>
      </c>
      <c r="CM54" s="1">
        <v>2.177376145990392</v>
      </c>
      <c r="CN54" s="1">
        <v>0.5827536107022249</v>
      </c>
      <c r="CO54" s="1">
        <v>1.7982992213658409</v>
      </c>
      <c r="CP54" s="1">
        <v>1.9046068851621447</v>
      </c>
      <c r="CQ54" s="1">
        <v>1.955336489125606</v>
      </c>
      <c r="CR54" s="1">
        <v>0.9791854612450255</v>
      </c>
      <c r="CS54" s="1">
        <v>0.990320699135675</v>
      </c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</row>
    <row r="55" spans="1:12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 t="s">
        <v>44</v>
      </c>
      <c r="AA55" s="1" t="s">
        <v>44</v>
      </c>
      <c r="AB55" s="1" t="s">
        <v>44</v>
      </c>
      <c r="AC55" s="1" t="s">
        <v>44</v>
      </c>
      <c r="AD55" s="1" t="s">
        <v>44</v>
      </c>
      <c r="AE55" s="1" t="s">
        <v>44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>
        <v>3</v>
      </c>
      <c r="BY55" s="1"/>
      <c r="BZ55" s="4">
        <v>0.4044929919056212</v>
      </c>
      <c r="CA55" s="4">
        <v>0.9594253655528304</v>
      </c>
      <c r="CB55" s="4">
        <v>0.9535807404869198</v>
      </c>
      <c r="CC55" s="4">
        <v>0.7589987131358447</v>
      </c>
      <c r="CD55" s="4">
        <v>0.5539653658329076</v>
      </c>
      <c r="CE55" s="4">
        <v>0.3894183423086505</v>
      </c>
      <c r="CF55" s="4">
        <v>0.26915623454818477</v>
      </c>
      <c r="CG55" s="4">
        <v>0.18459872362061738</v>
      </c>
      <c r="CH55" s="1"/>
      <c r="CI55" s="1"/>
      <c r="CJ55" s="1"/>
      <c r="CK55" s="1"/>
      <c r="CL55" s="1">
        <v>1.4044929919056213</v>
      </c>
      <c r="CM55" s="1">
        <v>3.95942536555283</v>
      </c>
      <c r="CN55" s="1">
        <v>3.95358074048692</v>
      </c>
      <c r="CO55" s="1">
        <v>3.7589987131358447</v>
      </c>
      <c r="CP55" s="1">
        <v>2.553965365832908</v>
      </c>
      <c r="CQ55" s="1">
        <v>3.3894183423086504</v>
      </c>
      <c r="CR55" s="1">
        <v>0.26915623454818477</v>
      </c>
      <c r="CS55" s="1">
        <v>0.18459872362061738</v>
      </c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</row>
    <row r="56" spans="1:12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>
        <v>4</v>
      </c>
      <c r="BY56" s="1"/>
      <c r="BZ56" s="4">
        <v>-0.9651271452040422</v>
      </c>
      <c r="CA56" s="4">
        <v>-0.6816373625047603</v>
      </c>
      <c r="CB56" s="4">
        <v>-0.010342318905209005</v>
      </c>
      <c r="CC56" s="4">
        <v>0.47378072050724973</v>
      </c>
      <c r="CD56" s="4">
        <v>0.7425681955798139</v>
      </c>
      <c r="CE56" s="4">
        <v>0.8775825618903728</v>
      </c>
      <c r="CF56" s="4">
        <v>0.9425390246325147</v>
      </c>
      <c r="CG56" s="4">
        <v>0.9731902242785206</v>
      </c>
      <c r="CH56" s="1"/>
      <c r="CI56" s="1"/>
      <c r="CJ56" s="1"/>
      <c r="CK56" s="1"/>
      <c r="CL56" s="1">
        <v>2.0348728547959576</v>
      </c>
      <c r="CM56" s="1">
        <v>-0.6816373625047603</v>
      </c>
      <c r="CN56" s="1">
        <v>1.989657681094791</v>
      </c>
      <c r="CO56" s="1">
        <v>0.47378072050724973</v>
      </c>
      <c r="CP56" s="1">
        <v>3.742568195579814</v>
      </c>
      <c r="CQ56" s="1">
        <v>1.8775825618903728</v>
      </c>
      <c r="CR56" s="1">
        <v>0.9425390246325147</v>
      </c>
      <c r="CS56" s="1">
        <v>0.9731902242785206</v>
      </c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</row>
    <row r="57" spans="1:12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>
        <v>5</v>
      </c>
      <c r="BY57" s="1"/>
      <c r="BZ57" s="4">
        <v>-0.8111757101635022</v>
      </c>
      <c r="CA57" s="4">
        <v>0.34912703145656127</v>
      </c>
      <c r="CB57" s="4">
        <v>0.9471481575026521</v>
      </c>
      <c r="CC57" s="4">
        <v>0.9615690291242431</v>
      </c>
      <c r="CD57" s="4">
        <v>0.7711716836978453</v>
      </c>
      <c r="CE57" s="4">
        <v>0.5646424733950354</v>
      </c>
      <c r="CF57" s="4">
        <v>0.39748577771850885</v>
      </c>
      <c r="CG57" s="4">
        <v>0.2749092650005994</v>
      </c>
      <c r="CH57" s="1"/>
      <c r="CI57" s="1"/>
      <c r="CJ57" s="1"/>
      <c r="CK57" s="1"/>
      <c r="CL57" s="1">
        <v>0.1888242898364978</v>
      </c>
      <c r="CM57" s="1">
        <v>1.3491270314565613</v>
      </c>
      <c r="CN57" s="1">
        <v>1.9471481575026521</v>
      </c>
      <c r="CO57" s="1">
        <v>2.9615690291242434</v>
      </c>
      <c r="CP57" s="1">
        <v>1.7711716836978453</v>
      </c>
      <c r="CQ57" s="1">
        <v>2.5646424733950353</v>
      </c>
      <c r="CR57" s="1">
        <v>0.39748577771850885</v>
      </c>
      <c r="CS57" s="1">
        <v>0.2749092650005994</v>
      </c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</row>
    <row r="58" spans="1:12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 t="s">
        <v>44</v>
      </c>
      <c r="CM58" s="1" t="s">
        <v>44</v>
      </c>
      <c r="CN58" s="1" t="s">
        <v>44</v>
      </c>
      <c r="CO58" s="1" t="s">
        <v>44</v>
      </c>
      <c r="CP58" s="1" t="s">
        <v>44</v>
      </c>
      <c r="CQ58" s="1" t="s">
        <v>44</v>
      </c>
      <c r="CR58" s="1" t="s">
        <v>44</v>
      </c>
      <c r="CS58" s="1" t="s">
        <v>44</v>
      </c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</row>
    <row r="59" spans="1:12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</row>
    <row r="60" spans="1:12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</row>
    <row r="61" spans="1:12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</row>
    <row r="62" spans="1:12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3" t="s">
        <v>49</v>
      </c>
      <c r="CW62" s="1"/>
      <c r="CX62" s="1"/>
      <c r="CY62" s="1"/>
      <c r="CZ62" s="1" t="s">
        <v>8</v>
      </c>
      <c r="DA62" s="1">
        <v>0</v>
      </c>
      <c r="DB62" s="1">
        <v>1</v>
      </c>
      <c r="DC62" s="1">
        <v>2</v>
      </c>
      <c r="DD62" s="1">
        <v>3</v>
      </c>
      <c r="DE62" s="1">
        <v>4</v>
      </c>
      <c r="DF62" s="1">
        <v>5</v>
      </c>
      <c r="DG62" s="1">
        <v>6</v>
      </c>
      <c r="DH62" s="1">
        <v>7</v>
      </c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</row>
    <row r="63" spans="1:12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>
        <v>0</v>
      </c>
      <c r="DA63" s="3" cm="1">
        <f t="array" ref="DA63">_xlfn.LAMBDA(_xlpm.L,_xlpm.t, _xlfn.MAKEARRAY(_xlpm.L,_xlpm.L,_xlfn.LAMBDA(_xlpm.I,_xlpm.J,IF(OR(_xlpm.J&lt;_xlpm.I),-99,0))))(8,#REF!)</f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</row>
    <row r="64" spans="1:12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>
        <v>1</v>
      </c>
      <c r="DA64" s="3">
        <v>-99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</row>
    <row r="65" spans="1:12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3" t="s">
        <v>50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2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>
        <v>2</v>
      </c>
      <c r="DA65" s="3">
        <v>-99</v>
      </c>
      <c r="DB65" s="3">
        <v>-99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</row>
    <row r="66" spans="1:12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" t="s">
        <v>50</v>
      </c>
      <c r="O66" s="1"/>
      <c r="P66" s="1" t="s">
        <v>51</v>
      </c>
      <c r="Q66" s="1"/>
      <c r="R66" s="1"/>
      <c r="S66" s="1"/>
      <c r="T66" s="1"/>
      <c r="U66" s="1"/>
      <c r="V66" s="1"/>
      <c r="W66" s="1"/>
      <c r="X66" s="1"/>
      <c r="Y66" s="1"/>
      <c r="Z66" s="1" t="s">
        <v>52</v>
      </c>
      <c r="AA66" s="1"/>
      <c r="AB66" s="1"/>
      <c r="AC66" s="1"/>
      <c r="AD66" s="1"/>
      <c r="AE66" s="1"/>
      <c r="AF66" s="1"/>
      <c r="AG66" s="1"/>
      <c r="AH66" s="1">
        <v>0</v>
      </c>
      <c r="AI66" s="1"/>
      <c r="AJ66" s="1"/>
      <c r="AK66" s="1"/>
      <c r="AL66" s="1"/>
      <c r="AM66" s="1" t="s">
        <v>52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3" t="s">
        <v>50</v>
      </c>
      <c r="CA66" s="1"/>
      <c r="CB66" s="1" t="s">
        <v>51</v>
      </c>
      <c r="CC66" s="1"/>
      <c r="CD66" s="1"/>
      <c r="CE66" s="1"/>
      <c r="CF66" s="1"/>
      <c r="CG66" s="1"/>
      <c r="CH66" s="1"/>
      <c r="CI66" s="1"/>
      <c r="CJ66" s="1"/>
      <c r="CK66" s="1"/>
      <c r="CL66" s="1" t="s">
        <v>52</v>
      </c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>
        <v>3</v>
      </c>
      <c r="DA66" s="3">
        <v>-99</v>
      </c>
      <c r="DB66" s="3">
        <v>-99</v>
      </c>
      <c r="DC66" s="3">
        <v>-99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</row>
    <row r="67" spans="1:12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">
        <v>0</v>
      </c>
      <c r="O67" s="1"/>
      <c r="P67" s="1">
        <v>-1</v>
      </c>
      <c r="Q67" s="1">
        <v>-1</v>
      </c>
      <c r="R67" s="1">
        <v>1</v>
      </c>
      <c r="S67" s="1">
        <v>1</v>
      </c>
      <c r="T67" s="1">
        <v>1</v>
      </c>
      <c r="U67" s="1" t="s">
        <v>45</v>
      </c>
      <c r="V67" s="1"/>
      <c r="W67" s="1"/>
      <c r="X67" s="1"/>
      <c r="Y67" s="1"/>
      <c r="Z67" s="1" cm="1">
        <f t="array" ref="Z67">MMULT(P67:T72,_xlfn.ANCHORARRAY(Z50))</f>
        <v>0</v>
      </c>
      <c r="AA67" s="1">
        <v>1.884357616065778</v>
      </c>
      <c r="AB67" s="1">
        <v>3.0586317440413113</v>
      </c>
      <c r="AC67" s="1">
        <v>2.0396907804225304</v>
      </c>
      <c r="AD67" s="1">
        <v>1.0183409612205896</v>
      </c>
      <c r="AE67" s="1">
        <v>4.007700054527635</v>
      </c>
      <c r="AF67" s="1"/>
      <c r="AG67" s="1"/>
      <c r="AH67" s="1"/>
      <c r="AI67" s="1"/>
      <c r="AJ67" s="1"/>
      <c r="AK67" s="1"/>
      <c r="AL67" s="1"/>
      <c r="AM67" s="1">
        <f>Z67:AE69</f>
        <v>0</v>
      </c>
      <c r="AN67" s="1">
        <v>1.884357616065778</v>
      </c>
      <c r="AO67" s="1">
        <v>3.0586317440413113</v>
      </c>
      <c r="AP67" s="1">
        <v>2.0396907804225304</v>
      </c>
      <c r="AQ67" s="1">
        <v>1.0183409612205896</v>
      </c>
      <c r="AR67" s="1">
        <v>4.007700054527635</v>
      </c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3">
        <v>0</v>
      </c>
      <c r="CA67" s="1"/>
      <c r="CB67" s="1">
        <v>-1</v>
      </c>
      <c r="CC67" s="1">
        <v>-1</v>
      </c>
      <c r="CD67" s="1">
        <v>1</v>
      </c>
      <c r="CE67" s="1">
        <v>1</v>
      </c>
      <c r="CF67" s="1">
        <v>0</v>
      </c>
      <c r="CG67" s="1">
        <v>1</v>
      </c>
      <c r="CH67" s="1" t="s">
        <v>45</v>
      </c>
      <c r="CI67" s="1"/>
      <c r="CJ67" s="1"/>
      <c r="CK67" s="1"/>
      <c r="CL67" s="1">
        <f>MMULT($CB67:$CG75,CL52:CS57)</f>
        <v>0</v>
      </c>
      <c r="CM67" s="1">
        <v>2.7911170068538995</v>
      </c>
      <c r="CN67" s="1">
        <v>0.9419401112213213</v>
      </c>
      <c r="CO67" s="1">
        <v>5.124308443829925</v>
      </c>
      <c r="CP67" s="1">
        <v>0.9511351682066258</v>
      </c>
      <c r="CQ67" s="1">
        <v>5.715723808756205</v>
      </c>
      <c r="CR67" s="1">
        <v>0.5123102023558894</v>
      </c>
      <c r="CS67" s="1">
        <v>0.35820721093753405</v>
      </c>
      <c r="CT67" s="1"/>
      <c r="CU67" s="1"/>
      <c r="CV67" s="1"/>
      <c r="CW67" s="1"/>
      <c r="CX67" s="1"/>
      <c r="CY67" s="1"/>
      <c r="CZ67" s="1">
        <v>4</v>
      </c>
      <c r="DA67" s="3">
        <v>-99</v>
      </c>
      <c r="DB67" s="3">
        <v>-99</v>
      </c>
      <c r="DC67" s="3">
        <v>-99</v>
      </c>
      <c r="DD67" s="3">
        <v>-99</v>
      </c>
      <c r="DE67" s="3">
        <v>0</v>
      </c>
      <c r="DF67" s="3">
        <v>0</v>
      </c>
      <c r="DG67" s="3">
        <v>0</v>
      </c>
      <c r="DH67" s="3">
        <v>0</v>
      </c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</row>
    <row r="68" spans="1:12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>
        <v>1</v>
      </c>
      <c r="Q68" s="1">
        <v>-1</v>
      </c>
      <c r="R68" s="1">
        <v>-1</v>
      </c>
      <c r="S68" s="1">
        <v>0</v>
      </c>
      <c r="T68" s="1">
        <v>-1</v>
      </c>
      <c r="U68" s="1" t="s">
        <v>45</v>
      </c>
      <c r="V68" s="1"/>
      <c r="W68" s="1"/>
      <c r="X68" s="1"/>
      <c r="Y68" s="1"/>
      <c r="Z68" s="1">
        <v>-1.7530388705855742</v>
      </c>
      <c r="AA68" s="1">
        <v>-0.9154141825103603</v>
      </c>
      <c r="AB68" s="1">
        <v>-7.060633265914551</v>
      </c>
      <c r="AC68" s="1">
        <v>-3.039817491898116</v>
      </c>
      <c r="AD68" s="1">
        <v>-6.018348960420622</v>
      </c>
      <c r="AE68" s="1">
        <v>-5.00770055928551</v>
      </c>
      <c r="AF68" s="1"/>
      <c r="AG68" s="1"/>
      <c r="AH68" s="1"/>
      <c r="AI68" s="1"/>
      <c r="AJ68" s="1"/>
      <c r="AK68" s="1"/>
      <c r="AL68" s="1"/>
      <c r="AM68" s="1">
        <v>-1.7530388705855742</v>
      </c>
      <c r="AN68" s="1">
        <v>-0.9154141825103603</v>
      </c>
      <c r="AO68" s="1">
        <v>-7.060633265914551</v>
      </c>
      <c r="AP68" s="1">
        <v>-3.039817491898116</v>
      </c>
      <c r="AQ68" s="1">
        <v>-6.018348960420622</v>
      </c>
      <c r="AR68" s="1">
        <v>-5.00770055928551</v>
      </c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>
        <v>1</v>
      </c>
      <c r="CC68" s="1">
        <v>-1</v>
      </c>
      <c r="CD68" s="1">
        <v>-1</v>
      </c>
      <c r="CE68" s="1">
        <v>0</v>
      </c>
      <c r="CF68" s="1">
        <v>0</v>
      </c>
      <c r="CG68" s="1">
        <v>-1</v>
      </c>
      <c r="CH68" s="1" t="s">
        <v>45</v>
      </c>
      <c r="CI68" s="1"/>
      <c r="CJ68" s="1"/>
      <c r="CK68" s="1"/>
      <c r="CL68" s="1">
        <v>3.0651633543576584</v>
      </c>
      <c r="CM68" s="1">
        <v>-6.432917863067728</v>
      </c>
      <c r="CN68" s="1">
        <v>-0.17061360516498714</v>
      </c>
      <c r="CO68" s="1">
        <v>-2.2006633999457055</v>
      </c>
      <c r="CP68" s="1">
        <v>-2.975893030106728</v>
      </c>
      <c r="CQ68" s="1">
        <v>-4.723644128037677</v>
      </c>
      <c r="CR68" s="1">
        <v>-0.5148283038684898</v>
      </c>
      <c r="CS68" s="1">
        <v>-0.3590054888743712</v>
      </c>
      <c r="CT68" s="1"/>
      <c r="CU68" s="1"/>
      <c r="CV68" s="1"/>
      <c r="CW68" s="1"/>
      <c r="CX68" s="1"/>
      <c r="CY68" s="1"/>
      <c r="CZ68" s="1">
        <v>5</v>
      </c>
      <c r="DA68" s="3">
        <v>-99</v>
      </c>
      <c r="DB68" s="3">
        <v>-99</v>
      </c>
      <c r="DC68" s="3">
        <v>-99</v>
      </c>
      <c r="DD68" s="3">
        <v>-99</v>
      </c>
      <c r="DE68" s="3">
        <v>-99</v>
      </c>
      <c r="DF68" s="3">
        <v>0</v>
      </c>
      <c r="DG68" s="3">
        <v>0</v>
      </c>
      <c r="DH68" s="3">
        <v>0</v>
      </c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</row>
    <row r="69" spans="1:12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>
        <v>-1</v>
      </c>
      <c r="Q69" s="1">
        <v>-1</v>
      </c>
      <c r="R69" s="1">
        <v>0</v>
      </c>
      <c r="S69" s="1">
        <v>0</v>
      </c>
      <c r="T69" s="1">
        <v>1</v>
      </c>
      <c r="U69" s="1" t="s">
        <v>45</v>
      </c>
      <c r="V69" s="1"/>
      <c r="W69" s="1"/>
      <c r="X69" s="1"/>
      <c r="Y69" s="1"/>
      <c r="Z69" s="1">
        <v>-5.044032512318147</v>
      </c>
      <c r="AA69" s="1">
        <v>-0.5970587183776108</v>
      </c>
      <c r="AB69" s="1">
        <v>-1.1732189722537205</v>
      </c>
      <c r="AC69" s="1">
        <v>-3.0577777421840517</v>
      </c>
      <c r="AD69" s="1">
        <v>-2.0211984067150324</v>
      </c>
      <c r="AE69" s="1">
        <v>-1.008152239935968</v>
      </c>
      <c r="AF69" s="1"/>
      <c r="AG69" s="1"/>
      <c r="AH69" s="1"/>
      <c r="AI69" s="1"/>
      <c r="AJ69" s="1"/>
      <c r="AK69" s="1"/>
      <c r="AL69" s="1"/>
      <c r="AM69" s="1">
        <v>-5.044032512318147</v>
      </c>
      <c r="AN69" s="1">
        <v>-0.5970587183776108</v>
      </c>
      <c r="AO69" s="1">
        <v>-1.1732189722537205</v>
      </c>
      <c r="AP69" s="1">
        <v>-3.0577777421840517</v>
      </c>
      <c r="AQ69" s="1">
        <v>-2.0211984067150324</v>
      </c>
      <c r="AR69" s="1">
        <v>-1.008152239935968</v>
      </c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>
        <v>-1</v>
      </c>
      <c r="CC69" s="1">
        <v>-1</v>
      </c>
      <c r="CD69" s="1">
        <v>0</v>
      </c>
      <c r="CE69" s="1">
        <v>0</v>
      </c>
      <c r="CF69" s="1">
        <v>0</v>
      </c>
      <c r="CG69" s="1">
        <v>1</v>
      </c>
      <c r="CH69" s="1" t="s">
        <v>45</v>
      </c>
      <c r="CI69" s="1"/>
      <c r="CJ69" s="1"/>
      <c r="CK69" s="1"/>
      <c r="CL69" s="1">
        <v>-4.566337374543778</v>
      </c>
      <c r="CM69" s="1">
        <v>-3.3456845046893227</v>
      </c>
      <c r="CN69" s="1">
        <v>-3.5943942399678237</v>
      </c>
      <c r="CO69" s="1">
        <v>-0.4329894906717606</v>
      </c>
      <c r="CP69" s="1">
        <v>-3.5074370827884267</v>
      </c>
      <c r="CQ69" s="1">
        <v>0.3709689773219482</v>
      </c>
      <c r="CR69" s="1">
        <v>-0.7360314934373209</v>
      </c>
      <c r="CS69" s="1">
        <v>-0.8167122118187583</v>
      </c>
      <c r="CT69" s="1"/>
      <c r="CU69" s="1"/>
      <c r="CV69" s="1"/>
      <c r="CW69" s="1"/>
      <c r="CX69" s="1"/>
      <c r="CY69" s="1"/>
      <c r="CZ69" s="1">
        <v>6</v>
      </c>
      <c r="DA69" s="3">
        <v>-99</v>
      </c>
      <c r="DB69" s="3">
        <v>-99</v>
      </c>
      <c r="DC69" s="3">
        <v>-99</v>
      </c>
      <c r="DD69" s="3">
        <v>-99</v>
      </c>
      <c r="DE69" s="3">
        <v>-99</v>
      </c>
      <c r="DF69" s="3">
        <v>-99</v>
      </c>
      <c r="DG69" s="3">
        <v>0</v>
      </c>
      <c r="DH69" s="3">
        <v>0</v>
      </c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</row>
    <row r="70" spans="1:12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">
        <v>1</v>
      </c>
      <c r="O70" s="1"/>
      <c r="P70" s="1">
        <v>0</v>
      </c>
      <c r="Q70" s="1">
        <v>1</v>
      </c>
      <c r="R70" s="1">
        <v>1</v>
      </c>
      <c r="S70" s="1">
        <v>1</v>
      </c>
      <c r="T70" s="1">
        <v>1</v>
      </c>
      <c r="U70" s="1" t="s">
        <v>45</v>
      </c>
      <c r="V70" s="1"/>
      <c r="W70" s="1"/>
      <c r="X70" s="1"/>
      <c r="Y70" s="1"/>
      <c r="Z70" s="1">
        <v>9.674601346387705</v>
      </c>
      <c r="AA70" s="1">
        <v>6.495218743488071</v>
      </c>
      <c r="AB70" s="1">
        <v>10.308355503014587</v>
      </c>
      <c r="AC70" s="1">
        <v>10.139808517112671</v>
      </c>
      <c r="AD70" s="1">
        <v>8.058288295023921</v>
      </c>
      <c r="AE70" s="1">
        <v>9.02361624863952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3">
        <v>1</v>
      </c>
      <c r="CA70" s="1"/>
      <c r="CB70" s="1">
        <v>0</v>
      </c>
      <c r="CC70" s="1">
        <v>1</v>
      </c>
      <c r="CD70" s="1">
        <v>1</v>
      </c>
      <c r="CE70" s="1">
        <v>1</v>
      </c>
      <c r="CF70" s="1">
        <v>1</v>
      </c>
      <c r="CG70" s="1">
        <v>1</v>
      </c>
      <c r="CH70" s="1" t="s">
        <v>45</v>
      </c>
      <c r="CI70" s="1"/>
      <c r="CJ70" s="1"/>
      <c r="CK70" s="1"/>
      <c r="CL70" s="1">
        <v>4.150962118254345</v>
      </c>
      <c r="CM70" s="1">
        <v>10.604904291378352</v>
      </c>
      <c r="CN70" s="1">
        <v>10.06426730700188</v>
      </c>
      <c r="CO70" s="1">
        <v>9.41032451875899</v>
      </c>
      <c r="CP70" s="1">
        <v>12.261673744139218</v>
      </c>
      <c r="CQ70" s="1">
        <v>10.985649197514725</v>
      </c>
      <c r="CR70" s="1">
        <v>2.7242036661746263</v>
      </c>
      <c r="CS70" s="1">
        <v>2.5157174128141397</v>
      </c>
      <c r="CT70" s="1"/>
      <c r="CU70" s="1"/>
      <c r="CV70" s="1"/>
      <c r="CW70" s="1"/>
      <c r="CX70" s="1"/>
      <c r="CY70" s="1"/>
      <c r="CZ70" s="1">
        <v>7</v>
      </c>
      <c r="DA70" s="3">
        <v>-99</v>
      </c>
      <c r="DB70" s="3">
        <v>-99</v>
      </c>
      <c r="DC70" s="3">
        <v>-99</v>
      </c>
      <c r="DD70" s="3">
        <v>-99</v>
      </c>
      <c r="DE70" s="3">
        <v>-99</v>
      </c>
      <c r="DF70" s="3">
        <v>-99</v>
      </c>
      <c r="DG70" s="3">
        <v>-99</v>
      </c>
      <c r="DH70" s="3">
        <v>0</v>
      </c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</row>
    <row r="71" spans="1:12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>
        <v>0</v>
      </c>
      <c r="Q71" s="1">
        <v>1</v>
      </c>
      <c r="R71" s="1">
        <v>-1</v>
      </c>
      <c r="S71" s="1">
        <v>1</v>
      </c>
      <c r="T71" s="1">
        <v>1</v>
      </c>
      <c r="U71" s="1" t="s">
        <v>45</v>
      </c>
      <c r="V71" s="1"/>
      <c r="W71" s="1"/>
      <c r="X71" s="1"/>
      <c r="Y71" s="1"/>
      <c r="Z71" s="1">
        <v>6.939312432435424</v>
      </c>
      <c r="AA71" s="1">
        <v>4.717061525098171</v>
      </c>
      <c r="AB71" s="1">
        <v>6.344078295761057</v>
      </c>
      <c r="AC71" s="1">
        <v>6.145484446498197</v>
      </c>
      <c r="AD71" s="1">
        <v>4.059188227525946</v>
      </c>
      <c r="AE71" s="1">
        <v>1.0237588873313261</v>
      </c>
      <c r="AF71" s="1"/>
      <c r="AG71" s="1"/>
      <c r="AH71" s="5"/>
      <c r="AI71" s="1"/>
      <c r="AJ71" s="1"/>
      <c r="AK71" s="1"/>
      <c r="AL71" s="1"/>
      <c r="AM71" s="5" t="s">
        <v>53</v>
      </c>
      <c r="AN71" s="1"/>
      <c r="AO71" s="1"/>
      <c r="AP71" s="1"/>
      <c r="AQ71" s="1"/>
      <c r="AR71" s="1"/>
      <c r="AS71" s="1"/>
      <c r="AT71" s="1"/>
      <c r="AU71" s="1"/>
      <c r="AV71" s="1" t="s">
        <v>8</v>
      </c>
      <c r="AW71" s="1">
        <v>0</v>
      </c>
      <c r="AX71" s="1">
        <v>1</v>
      </c>
      <c r="AY71" s="1">
        <v>2</v>
      </c>
      <c r="AZ71" s="1">
        <v>3</v>
      </c>
      <c r="BA71" s="1">
        <v>4</v>
      </c>
      <c r="BB71" s="1">
        <v>5</v>
      </c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>
        <v>0</v>
      </c>
      <c r="CC71" s="1">
        <v>1</v>
      </c>
      <c r="CD71" s="1">
        <v>0</v>
      </c>
      <c r="CE71" s="1">
        <v>1</v>
      </c>
      <c r="CF71" s="1">
        <v>0</v>
      </c>
      <c r="CG71" s="1">
        <v>1</v>
      </c>
      <c r="CH71" s="1" t="s">
        <v>45</v>
      </c>
      <c r="CI71" s="1"/>
      <c r="CJ71" s="1"/>
      <c r="CK71" s="1"/>
      <c r="CL71" s="1">
        <v>2.5717193202119706</v>
      </c>
      <c r="CM71" s="1">
        <v>9.10916550789272</v>
      </c>
      <c r="CN71" s="1">
        <v>7.491856015204865</v>
      </c>
      <c r="CO71" s="1">
        <v>7.138244576885901</v>
      </c>
      <c r="CP71" s="1">
        <v>6.614498663397258</v>
      </c>
      <c r="CQ71" s="1">
        <v>7.1527301464987465</v>
      </c>
      <c r="CR71" s="1">
        <v>0.8024791802970861</v>
      </c>
      <c r="CS71" s="1">
        <v>0.552206489399944</v>
      </c>
      <c r="CT71" s="1"/>
      <c r="CU71" s="1"/>
      <c r="CV71" s="3" t="s">
        <v>50</v>
      </c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</row>
    <row r="72" spans="1:12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>
        <v>-1</v>
      </c>
      <c r="Q72" s="1">
        <v>1</v>
      </c>
      <c r="R72" s="1">
        <v>0</v>
      </c>
      <c r="S72" s="1">
        <v>-1</v>
      </c>
      <c r="T72" s="1">
        <v>0</v>
      </c>
      <c r="U72" s="1" t="s">
        <v>45</v>
      </c>
      <c r="V72" s="1"/>
      <c r="W72" s="1"/>
      <c r="X72" s="1"/>
      <c r="Y72" s="1"/>
      <c r="Z72" s="1">
        <v>-5.206849012838341</v>
      </c>
      <c r="AA72" s="1">
        <v>-5.268107415131199</v>
      </c>
      <c r="AB72" s="1">
        <v>-0.121865419829283</v>
      </c>
      <c r="AC72" s="1">
        <v>-5.04977442582709</v>
      </c>
      <c r="AD72" s="1">
        <v>0.9800593320900335</v>
      </c>
      <c r="AE72" s="1">
        <v>-3.007953630070319</v>
      </c>
      <c r="AF72" s="1"/>
      <c r="AG72" s="1"/>
      <c r="AH72" s="1"/>
      <c r="AI72" s="1" t="s">
        <v>54</v>
      </c>
      <c r="AJ72" s="1"/>
      <c r="AK72" s="1"/>
      <c r="AL72" s="1"/>
      <c r="AM72" s="1" t="s">
        <v>44</v>
      </c>
      <c r="AN72" s="1" t="s">
        <v>44</v>
      </c>
      <c r="AO72" s="1" t="s">
        <v>44</v>
      </c>
      <c r="AP72" s="1" t="s">
        <v>44</v>
      </c>
      <c r="AQ72" s="1" t="s">
        <v>44</v>
      </c>
      <c r="AR72" s="1" t="s">
        <v>44</v>
      </c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>
        <v>-1</v>
      </c>
      <c r="CC72" s="1">
        <v>1</v>
      </c>
      <c r="CD72" s="1">
        <v>0</v>
      </c>
      <c r="CE72" s="1">
        <v>-1</v>
      </c>
      <c r="CF72" s="1">
        <v>1</v>
      </c>
      <c r="CG72" s="1">
        <v>0</v>
      </c>
      <c r="CH72" s="1" t="s">
        <v>45</v>
      </c>
      <c r="CI72" s="1"/>
      <c r="CJ72" s="1"/>
      <c r="CK72" s="1"/>
      <c r="CL72" s="1">
        <v>-2.1679777245502363</v>
      </c>
      <c r="CM72" s="1">
        <v>-1.7346480424368154</v>
      </c>
      <c r="CN72" s="1">
        <v>-4.323211222432018</v>
      </c>
      <c r="CO72" s="1">
        <v>-5.844422843172973</v>
      </c>
      <c r="CP72" s="1">
        <v>0.48871729099364414</v>
      </c>
      <c r="CQ72" s="1">
        <v>-1.308170614901242</v>
      </c>
      <c r="CR72" s="1">
        <v>-0.18846014501071462</v>
      </c>
      <c r="CS72" s="1">
        <v>-0.1176329746039999</v>
      </c>
      <c r="CT72" s="1"/>
      <c r="CU72" s="1"/>
      <c r="CV72" s="1">
        <v>0</v>
      </c>
      <c r="CW72" s="1"/>
      <c r="CX72" s="1"/>
      <c r="CY72" s="1"/>
      <c r="CZ72" s="1"/>
      <c r="DA72" s="1" t="s">
        <v>52</v>
      </c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</row>
    <row r="73" spans="1:12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>
        <f>TRANSPOSE(Z80:AE82)</f>
        <v>0</v>
      </c>
      <c r="AJ73" s="1">
        <v>-1.7530388705855742</v>
      </c>
      <c r="AK73" s="1">
        <v>-5.044032512318147</v>
      </c>
      <c r="AL73" s="1" t="s">
        <v>45</v>
      </c>
      <c r="AM73" s="1" cm="1">
        <f t="array" ref="AM73">MMULT(_xlfn.ANCHORARRAY(AI73),_xlfn.ANCHORARRAY(AM67)) / SQRT(3)</f>
        <v>0</v>
      </c>
      <c r="AN73" s="1">
        <v>3.017059290607463</v>
      </c>
      <c r="AO73" s="1">
        <v>11.133861235311931</v>
      </c>
      <c r="AP73" s="1">
        <v>12.362246851635259</v>
      </c>
      <c r="AQ73" s="1">
        <v>12.167483244057964</v>
      </c>
      <c r="AR73" s="1">
        <v>8.752542516420355</v>
      </c>
      <c r="AS73" s="1"/>
      <c r="AT73" s="1"/>
      <c r="AU73" s="1"/>
      <c r="AV73" s="1"/>
      <c r="AW73" s="1">
        <f>SOFTMAX(AM73:AM78)</f>
        <v>0</v>
      </c>
      <c r="AX73" s="1">
        <f>SOFTMAX(AN73:AN78)</f>
        <v>0</v>
      </c>
      <c r="AY73" s="1">
        <f>SOFTMAX(AO73:AO78)</f>
        <v>0</v>
      </c>
      <c r="AZ73" s="1">
        <f>SOFTMAX(AP73:AP78)</f>
        <v>0</v>
      </c>
      <c r="BA73" s="1">
        <f>SOFTMAX(AQ73:AQ78)</f>
        <v>0</v>
      </c>
      <c r="BB73" s="1">
        <f>SOFTMAX(AR73:AR78)</f>
        <v>0</v>
      </c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3">
        <v>2</v>
      </c>
      <c r="CA73" s="1"/>
      <c r="CB73" s="1">
        <v>1</v>
      </c>
      <c r="CC73" s="1">
        <v>0</v>
      </c>
      <c r="CD73" s="1">
        <v>0</v>
      </c>
      <c r="CE73" s="1">
        <v>0</v>
      </c>
      <c r="CF73" s="1">
        <v>1</v>
      </c>
      <c r="CG73" s="1">
        <v>1</v>
      </c>
      <c r="CH73" s="1" t="s">
        <v>45</v>
      </c>
      <c r="CI73" s="1"/>
      <c r="CJ73" s="1"/>
      <c r="CK73" s="1"/>
      <c r="CL73" s="1">
        <v>6.000456770542879</v>
      </c>
      <c r="CM73" s="1">
        <v>1.5616880942143556</v>
      </c>
      <c r="CN73" s="1">
        <v>7.887221118852627</v>
      </c>
      <c r="CO73" s="1">
        <v>6.412231434801685</v>
      </c>
      <c r="CP73" s="1">
        <v>8.502987031897426</v>
      </c>
      <c r="CQ73" s="1">
        <v>5.437229200563434</v>
      </c>
      <c r="CR73" s="1">
        <v>2.3377049054764605</v>
      </c>
      <c r="CS73" s="1">
        <v>2.2470224653197506</v>
      </c>
      <c r="CT73" s="1"/>
      <c r="CU73" s="1"/>
      <c r="CV73" s="1"/>
      <c r="CW73" s="1"/>
      <c r="CX73" s="1"/>
      <c r="CY73" s="1"/>
      <c r="CZ73" s="1"/>
      <c r="DA73" s="1">
        <f>CL67:CS69</f>
        <v>0</v>
      </c>
      <c r="DB73" s="1">
        <v>2.7911170068538995</v>
      </c>
      <c r="DC73" s="1">
        <v>0.9419401112213213</v>
      </c>
      <c r="DD73" s="1">
        <v>5.124308443829925</v>
      </c>
      <c r="DE73" s="1">
        <v>0.9511351682066258</v>
      </c>
      <c r="DF73" s="1">
        <v>5.715723808756205</v>
      </c>
      <c r="DG73" s="1">
        <v>0.5123102023558894</v>
      </c>
      <c r="DH73" s="1">
        <v>0.35820721093753405</v>
      </c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</row>
    <row r="74" spans="1:12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>
        <v>1.884357616065778</v>
      </c>
      <c r="AJ74" s="1">
        <v>-0.9154141825103603</v>
      </c>
      <c r="AK74" s="1">
        <v>-0.5970587183776108</v>
      </c>
      <c r="AL74" s="1" t="s">
        <v>45</v>
      </c>
      <c r="AM74" s="1">
        <v>3.017059290607463</v>
      </c>
      <c r="AN74" s="1">
        <v>2.7396805239318747</v>
      </c>
      <c r="AO74" s="1">
        <v>7.463661233380679</v>
      </c>
      <c r="AP74" s="1">
        <v>4.87969043617726</v>
      </c>
      <c r="AQ74" s="1">
        <v>4.9854049501663065</v>
      </c>
      <c r="AR74" s="1">
        <v>7.354279830033534</v>
      </c>
      <c r="AS74" s="1"/>
      <c r="AT74" s="1"/>
      <c r="AU74" s="1"/>
      <c r="AV74" s="1"/>
      <c r="AW74" s="1">
        <v>0.0000013178017887280172</v>
      </c>
      <c r="AX74" s="1">
        <v>0.004276620940815452</v>
      </c>
      <c r="AY74" s="1">
        <v>0.0000000000011213939589552154</v>
      </c>
      <c r="AZ74" s="1">
        <v>0.0000016510128699163494</v>
      </c>
      <c r="BA74" s="1">
        <v>0.00000000013334487319362633</v>
      </c>
      <c r="BB74" s="1">
        <v>0.0000000008884405831121793</v>
      </c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>
        <v>-1</v>
      </c>
      <c r="CC74" s="1">
        <v>1</v>
      </c>
      <c r="CD74" s="1">
        <v>-1</v>
      </c>
      <c r="CE74" s="1">
        <v>1</v>
      </c>
      <c r="CF74" s="1">
        <v>0</v>
      </c>
      <c r="CG74" s="1">
        <v>1</v>
      </c>
      <c r="CH74" s="1" t="s">
        <v>45</v>
      </c>
      <c r="CI74" s="1"/>
      <c r="CJ74" s="1"/>
      <c r="CK74" s="1"/>
      <c r="CL74" s="1">
        <v>-0.7494102489448704</v>
      </c>
      <c r="CM74" s="1">
        <v>6.037590936639774</v>
      </c>
      <c r="CN74" s="1">
        <v>2.9586871242474575</v>
      </c>
      <c r="CO74" s="1">
        <v>2.3630636703498684</v>
      </c>
      <c r="CP74" s="1">
        <v>1.7206446256153463</v>
      </c>
      <c r="CQ74" s="1">
        <v>4.202389492095115</v>
      </c>
      <c r="CR74" s="1">
        <v>-1.1743863840733764</v>
      </c>
      <c r="CS74" s="1">
        <v>-1.4370371857763615</v>
      </c>
      <c r="CT74" s="1"/>
      <c r="CU74" s="1"/>
      <c r="CV74" s="1"/>
      <c r="CW74" s="1"/>
      <c r="CX74" s="1"/>
      <c r="CY74" s="1"/>
      <c r="CZ74" s="1"/>
      <c r="DA74" s="1">
        <v>3.0651633543576584</v>
      </c>
      <c r="DB74" s="1">
        <v>-6.432917863067728</v>
      </c>
      <c r="DC74" s="1">
        <v>-0.17061360516498714</v>
      </c>
      <c r="DD74" s="1">
        <v>-2.2006633999457055</v>
      </c>
      <c r="DE74" s="1">
        <v>-2.975893030106728</v>
      </c>
      <c r="DF74" s="1">
        <v>-4.723644128037677</v>
      </c>
      <c r="DG74" s="1">
        <v>-0.5148283038684898</v>
      </c>
      <c r="DH74" s="1">
        <v>-0.3590054888743712</v>
      </c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</row>
    <row r="75" spans="1:12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>
        <v>3.0586317440413113</v>
      </c>
      <c r="AJ75" s="1">
        <v>-7.060633265914551</v>
      </c>
      <c r="AK75" s="1">
        <v>-1.1732189722537205</v>
      </c>
      <c r="AL75" s="1" t="s">
        <v>45</v>
      </c>
      <c r="AM75" s="1">
        <v>11.133861235311931</v>
      </c>
      <c r="AN75" s="1">
        <v>7.463661233380679</v>
      </c>
      <c r="AO75" s="1">
        <v>34.97831169472968</v>
      </c>
      <c r="AP75" s="1">
        <v>18.064794749650982</v>
      </c>
      <c r="AQ75" s="1">
        <v>27.700915570061323</v>
      </c>
      <c r="AR75" s="1">
        <v>28.173768854570348</v>
      </c>
      <c r="AS75" s="1"/>
      <c r="AT75" s="1"/>
      <c r="AU75" s="1"/>
      <c r="AV75" s="1"/>
      <c r="AW75" s="1">
        <v>0.004415017079559067</v>
      </c>
      <c r="AX75" s="1">
        <v>0.48161445467966</v>
      </c>
      <c r="AY75" s="1">
        <v>0.9982034787368974</v>
      </c>
      <c r="AZ75" s="1">
        <v>0.8789587731761684</v>
      </c>
      <c r="BA75" s="1">
        <v>0.9776811423862964</v>
      </c>
      <c r="BB75" s="1">
        <v>0.97817731735826</v>
      </c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>
        <v>0</v>
      </c>
      <c r="CC75" s="1">
        <v>0</v>
      </c>
      <c r="CD75" s="1">
        <v>-1</v>
      </c>
      <c r="CE75" s="1">
        <v>-1</v>
      </c>
      <c r="CF75" s="1">
        <v>0</v>
      </c>
      <c r="CG75" s="1">
        <v>1</v>
      </c>
      <c r="CH75" s="1" t="s">
        <v>45</v>
      </c>
      <c r="CI75" s="1"/>
      <c r="CJ75" s="1"/>
      <c r="CK75" s="1"/>
      <c r="CL75" s="1">
        <v>-0.7600386453155403</v>
      </c>
      <c r="CM75" s="1">
        <v>-4.787674480086661</v>
      </c>
      <c r="CN75" s="1">
        <v>-2.5891861936864924</v>
      </c>
      <c r="CO75" s="1">
        <v>-2.5957289053774417</v>
      </c>
      <c r="CP75" s="1">
        <v>-2.687400567297207</v>
      </c>
      <c r="CQ75" s="1">
        <v>-2.7801123580392213</v>
      </c>
      <c r="CR75" s="1">
        <v>-0.8508559180747015</v>
      </c>
      <c r="CS75" s="1">
        <v>-0.900010157755693</v>
      </c>
      <c r="CT75" s="1"/>
      <c r="CU75" s="1"/>
      <c r="CV75" s="1"/>
      <c r="CW75" s="1"/>
      <c r="CX75" s="1"/>
      <c r="CY75" s="1"/>
      <c r="CZ75" s="1"/>
      <c r="DA75" s="1">
        <v>-4.566337374543778</v>
      </c>
      <c r="DB75" s="1">
        <v>-3.3456845046893227</v>
      </c>
      <c r="DC75" s="1">
        <v>-3.5943942399678237</v>
      </c>
      <c r="DD75" s="1">
        <v>-0.4329894906717606</v>
      </c>
      <c r="DE75" s="1">
        <v>-3.5074370827884267</v>
      </c>
      <c r="DF75" s="1">
        <v>0.3709689773219482</v>
      </c>
      <c r="DG75" s="1">
        <v>-0.7360314934373209</v>
      </c>
      <c r="DH75" s="1">
        <v>-0.8167122118187583</v>
      </c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</row>
    <row r="76" spans="1:12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>
        <v>2.0396907804225304</v>
      </c>
      <c r="AJ76" s="1">
        <v>-3.039817491898116</v>
      </c>
      <c r="AK76" s="1">
        <v>-3.0577777421840517</v>
      </c>
      <c r="AL76" s="1" t="s">
        <v>45</v>
      </c>
      <c r="AM76" s="1">
        <v>12.362246851635259</v>
      </c>
      <c r="AN76" s="1">
        <v>4.87969043617726</v>
      </c>
      <c r="AO76" s="1">
        <v>18.064794749650982</v>
      </c>
      <c r="AP76" s="1">
        <v>13.135199894233994</v>
      </c>
      <c r="AQ76" s="1">
        <v>15.329895922638467</v>
      </c>
      <c r="AR76" s="1">
        <v>15.288044652338618</v>
      </c>
      <c r="AS76" s="1"/>
      <c r="AT76" s="1"/>
      <c r="AU76" s="1"/>
      <c r="AV76" s="1"/>
      <c r="AW76" s="1">
        <v>0.015080421587225104</v>
      </c>
      <c r="AX76" s="1">
        <v>0.03634923324958306</v>
      </c>
      <c r="AY76" s="1">
        <v>0.00000004505800928960762</v>
      </c>
      <c r="AZ76" s="1">
        <v>0.0063543723766593535</v>
      </c>
      <c r="BA76" s="1">
        <v>0.000004145068101116945</v>
      </c>
      <c r="BB76" s="1">
        <v>0.00000247866977802106</v>
      </c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</row>
    <row r="77" spans="1:12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>
        <v>1.0183409612205896</v>
      </c>
      <c r="AJ77" s="1">
        <v>-6.018348960420622</v>
      </c>
      <c r="AK77" s="1">
        <v>-2.0211984067150324</v>
      </c>
      <c r="AL77" s="1" t="s">
        <v>45</v>
      </c>
      <c r="AM77" s="1">
        <v>12.167483244057964</v>
      </c>
      <c r="AN77" s="1">
        <v>4.9854049501663065</v>
      </c>
      <c r="AO77" s="1">
        <v>27.700915570061323</v>
      </c>
      <c r="AP77" s="1">
        <v>15.329895922638467</v>
      </c>
      <c r="AQ77" s="1">
        <v>23.869268350177414</v>
      </c>
      <c r="AR77" s="1">
        <v>20.932971552295626</v>
      </c>
      <c r="AS77" s="1"/>
      <c r="AT77" s="1"/>
      <c r="AU77" s="1"/>
      <c r="AV77" s="1"/>
      <c r="AW77" s="1">
        <v>0.01241162720792827</v>
      </c>
      <c r="AX77" s="1">
        <v>0.040402336772569006</v>
      </c>
      <c r="AY77" s="1">
        <v>0.0006897410907331811</v>
      </c>
      <c r="AZ77" s="1">
        <v>0.057044927984342214</v>
      </c>
      <c r="BA77" s="1">
        <v>0.021190148212519994</v>
      </c>
      <c r="BB77" s="1">
        <v>0.0007010988825790437</v>
      </c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5"/>
      <c r="CW77" s="1"/>
      <c r="CX77" s="1"/>
      <c r="CY77" s="1"/>
      <c r="CZ77" s="1"/>
      <c r="DA77" s="5" t="s">
        <v>55</v>
      </c>
      <c r="DB77" s="1"/>
      <c r="DC77" s="1"/>
      <c r="DD77" s="1"/>
      <c r="DE77" s="1"/>
      <c r="DF77" s="1"/>
      <c r="DG77" s="1"/>
      <c r="DH77" s="1"/>
      <c r="DI77" s="1"/>
      <c r="DJ77" s="1" t="s">
        <v>8</v>
      </c>
      <c r="DK77" s="1">
        <v>0</v>
      </c>
      <c r="DL77" s="1">
        <v>1</v>
      </c>
      <c r="DM77" s="1">
        <v>2</v>
      </c>
      <c r="DN77" s="1">
        <v>3</v>
      </c>
      <c r="DO77" s="1">
        <v>4</v>
      </c>
      <c r="DP77" s="1">
        <v>5</v>
      </c>
      <c r="DQ77" s="1">
        <v>6</v>
      </c>
      <c r="DR77" s="1">
        <v>7</v>
      </c>
      <c r="DS77" s="1"/>
    </row>
    <row r="78" spans="1:12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>
        <v>4.007700054527635</v>
      </c>
      <c r="AJ78" s="1">
        <v>-5.00770055928551</v>
      </c>
      <c r="AK78" s="1">
        <v>-1.008152239935968</v>
      </c>
      <c r="AL78" s="1" t="s">
        <v>45</v>
      </c>
      <c r="AM78" s="1">
        <v>8.752542516420355</v>
      </c>
      <c r="AN78" s="1">
        <v>7.354279830033534</v>
      </c>
      <c r="AO78" s="1">
        <v>28.173768854570348</v>
      </c>
      <c r="AP78" s="1">
        <v>15.288044652338618</v>
      </c>
      <c r="AQ78" s="1">
        <v>20.932971552295626</v>
      </c>
      <c r="AR78" s="1">
        <v>24.338255767789178</v>
      </c>
      <c r="AS78" s="1"/>
      <c r="AT78" s="1"/>
      <c r="AU78" s="1"/>
      <c r="AV78" s="1"/>
      <c r="AW78" s="1">
        <v>0.00040807389070214074</v>
      </c>
      <c r="AX78" s="1">
        <v>0.431713642585423</v>
      </c>
      <c r="AY78" s="1">
        <v>0.0011067350692130437</v>
      </c>
      <c r="AZ78" s="1">
        <v>0.054706793499071246</v>
      </c>
      <c r="BA78" s="1">
        <v>0.0011243887659278969</v>
      </c>
      <c r="BB78" s="1">
        <v>0.021119100604392</v>
      </c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 t="s">
        <v>54</v>
      </c>
      <c r="CX78" s="1"/>
      <c r="CY78" s="1"/>
      <c r="CZ78" s="1"/>
      <c r="DA78" s="1" t="s">
        <v>44</v>
      </c>
      <c r="DB78" s="1" t="s">
        <v>44</v>
      </c>
      <c r="DC78" s="1" t="s">
        <v>44</v>
      </c>
      <c r="DD78" s="1" t="s">
        <v>44</v>
      </c>
      <c r="DE78" s="1" t="s">
        <v>44</v>
      </c>
      <c r="DF78" s="1" t="s">
        <v>44</v>
      </c>
      <c r="DG78" s="1" t="s">
        <v>44</v>
      </c>
      <c r="DH78" s="1" t="s">
        <v>44</v>
      </c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</row>
    <row r="79" spans="1:12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"/>
      <c r="O79" s="1"/>
      <c r="P79" s="1" t="s">
        <v>56</v>
      </c>
      <c r="Q79" s="1"/>
      <c r="R79" s="1"/>
      <c r="S79" s="1"/>
      <c r="T79" s="1"/>
      <c r="U79" s="1"/>
      <c r="V79" s="1"/>
      <c r="W79" s="1"/>
      <c r="X79" s="1"/>
      <c r="Y79" s="1"/>
      <c r="Z79" s="1" t="s">
        <v>57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 t="s">
        <v>56</v>
      </c>
      <c r="CC79" s="1"/>
      <c r="CD79" s="1"/>
      <c r="CE79" s="1"/>
      <c r="CF79" s="1"/>
      <c r="CG79" s="1"/>
      <c r="CH79" s="1"/>
      <c r="CI79" s="1"/>
      <c r="CJ79" s="1"/>
      <c r="CK79" s="1"/>
      <c r="CL79" s="1" t="s">
        <v>57</v>
      </c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>
        <f>TRANSPOSE(CL80:CS82)</f>
        <v>0</v>
      </c>
      <c r="CX79" s="1">
        <v>5.100036209153616</v>
      </c>
      <c r="CY79" s="1">
        <v>-3.1618443826381566</v>
      </c>
      <c r="CZ79" s="1" t="s">
        <v>45</v>
      </c>
      <c r="DA79" s="1" cm="1">
        <f t="array" ref="DA79">MMULT(_xlfn.ANCHORARRAY(CW79),_xlfn.ANCHORARRAY(DA73)) / SQRT(3) + DA63:DH70</f>
        <v>0</v>
      </c>
      <c r="DB79" s="1">
        <v>-18.66364113760856</v>
      </c>
      <c r="DC79" s="1">
        <v>4.091874999140727</v>
      </c>
      <c r="DD79" s="1">
        <v>-16.39182426179801</v>
      </c>
      <c r="DE79" s="1">
        <v>-4.34623458904251</v>
      </c>
      <c r="DF79" s="1">
        <v>-26.523579359953587</v>
      </c>
      <c r="DG79" s="1">
        <v>-1.2422816934215988</v>
      </c>
      <c r="DH79" s="1">
        <v>-0.3143265200803001</v>
      </c>
      <c r="DI79" s="1"/>
      <c r="DJ79" s="1"/>
      <c r="DK79" s="1">
        <f>SOFTMAX(DA79:DA86)</f>
        <v>0</v>
      </c>
      <c r="DL79" s="1">
        <f>SOFTMAX(DB79:DB86)</f>
        <v>0</v>
      </c>
      <c r="DM79" s="1">
        <f>SOFTMAX(DC79:DC86)</f>
        <v>0</v>
      </c>
      <c r="DN79" s="1">
        <f>SOFTMAX(DD79:DD86)</f>
        <v>0</v>
      </c>
      <c r="DO79" s="1">
        <f>SOFTMAX(DE79:DE86)</f>
        <v>0</v>
      </c>
      <c r="DP79" s="1">
        <f>SOFTMAX(DF79:DF86)</f>
        <v>0</v>
      </c>
      <c r="DQ79" s="1">
        <f>SOFTMAX(DG79:DG86)</f>
        <v>0</v>
      </c>
      <c r="DR79" s="1">
        <f>SOFTMAX(DH79:DH86)</f>
        <v>0</v>
      </c>
      <c r="DS79" s="1"/>
    </row>
    <row r="80" spans="1:12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">
        <v>0</v>
      </c>
      <c r="O80" s="1"/>
      <c r="P80" s="1">
        <v>-1</v>
      </c>
      <c r="Q80" s="1">
        <v>-1</v>
      </c>
      <c r="R80" s="1">
        <v>1</v>
      </c>
      <c r="S80" s="1">
        <v>1</v>
      </c>
      <c r="T80" s="1">
        <v>1</v>
      </c>
      <c r="U80" s="1" t="s">
        <v>45</v>
      </c>
      <c r="V80" s="1"/>
      <c r="W80" s="1"/>
      <c r="X80" s="1"/>
      <c r="Y80" s="1"/>
      <c r="Z80" s="1" cm="1">
        <f t="array" ref="Z80">MMULT(P80:T85,_xlfn.ANCHORARRAY(Z50))</f>
        <v>0</v>
      </c>
      <c r="AA80" s="1">
        <v>1.884357616065778</v>
      </c>
      <c r="AB80" s="1">
        <v>3.0586317440413113</v>
      </c>
      <c r="AC80" s="1">
        <v>2.0396907804225304</v>
      </c>
      <c r="AD80" s="1">
        <v>1.0183409612205896</v>
      </c>
      <c r="AE80" s="1">
        <v>4.007700054527635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3">
        <v>0</v>
      </c>
      <c r="CA80" s="1"/>
      <c r="CB80" s="1">
        <v>-1</v>
      </c>
      <c r="CC80" s="1">
        <v>-1</v>
      </c>
      <c r="CD80" s="1">
        <v>1</v>
      </c>
      <c r="CE80" s="1">
        <v>1</v>
      </c>
      <c r="CF80" s="1">
        <v>0</v>
      </c>
      <c r="CG80" s="1">
        <v>1</v>
      </c>
      <c r="CH80" s="1" t="s">
        <v>45</v>
      </c>
      <c r="CI80" s="1"/>
      <c r="CJ80" s="1"/>
      <c r="CK80" s="1"/>
      <c r="CL80" s="1">
        <f>MMULT($CB80:$CG88,CL52:CS57)</f>
        <v>0</v>
      </c>
      <c r="CM80" s="1">
        <v>2.7911170068538995</v>
      </c>
      <c r="CN80" s="1">
        <v>0.9419401112213213</v>
      </c>
      <c r="CO80" s="1">
        <v>5.124308443829925</v>
      </c>
      <c r="CP80" s="1">
        <v>0.9511351682066258</v>
      </c>
      <c r="CQ80" s="1">
        <v>5.715723808756205</v>
      </c>
      <c r="CR80" s="1">
        <v>0.5123102023558894</v>
      </c>
      <c r="CS80" s="1">
        <v>0.35820721093753405</v>
      </c>
      <c r="CT80" s="1"/>
      <c r="CU80" s="1"/>
      <c r="CV80" s="1"/>
      <c r="CW80" s="1">
        <v>2.7911170068538995</v>
      </c>
      <c r="CX80" s="1">
        <v>-7.114555225572488</v>
      </c>
      <c r="CY80" s="1">
        <v>0.6137408608635078</v>
      </c>
      <c r="CZ80" s="1" t="s">
        <v>45</v>
      </c>
      <c r="DA80" s="1">
        <v>-119.03787421778024</v>
      </c>
      <c r="DB80" s="1">
        <v>29.736021617357963</v>
      </c>
      <c r="DC80" s="1">
        <v>0.9450521646214614</v>
      </c>
      <c r="DD80" s="1">
        <v>17.14357469494615</v>
      </c>
      <c r="DE80" s="1">
        <v>12.51362102229317</v>
      </c>
      <c r="DF80" s="1">
        <v>28.744861031733794</v>
      </c>
      <c r="DG80" s="1">
        <v>2.6794592257081016</v>
      </c>
      <c r="DH80" s="1">
        <v>1.762484648837322</v>
      </c>
      <c r="DI80" s="1"/>
      <c r="DJ80" s="1"/>
      <c r="DK80" s="1">
        <v>0.000000000000000000000000000000000000000000000000000000000000003029822893720208</v>
      </c>
      <c r="DL80" s="1">
        <v>1</v>
      </c>
      <c r="DM80" s="1">
        <v>0.040784072741688174</v>
      </c>
      <c r="DN80" s="1">
        <v>0.650346331603939</v>
      </c>
      <c r="DO80" s="1">
        <v>0.9999869587969704</v>
      </c>
      <c r="DP80" s="1">
        <v>0.7874885409148282</v>
      </c>
      <c r="DQ80" s="1">
        <v>0.6403324890387481</v>
      </c>
      <c r="DR80" s="1">
        <v>0.43833523886239495</v>
      </c>
      <c r="DS80" s="1"/>
    </row>
    <row r="81" spans="1:12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>
        <v>1</v>
      </c>
      <c r="Q81" s="1">
        <v>-1</v>
      </c>
      <c r="R81" s="1">
        <v>-1</v>
      </c>
      <c r="S81" s="1">
        <v>0</v>
      </c>
      <c r="T81" s="1">
        <v>-1</v>
      </c>
      <c r="U81" s="1" t="s">
        <v>45</v>
      </c>
      <c r="V81" s="1"/>
      <c r="W81" s="1"/>
      <c r="X81" s="1"/>
      <c r="Y81" s="1"/>
      <c r="Z81" s="1">
        <v>-1.7530388705855742</v>
      </c>
      <c r="AA81" s="1">
        <v>-0.9154141825103603</v>
      </c>
      <c r="AB81" s="1">
        <v>-7.060633265914551</v>
      </c>
      <c r="AC81" s="1">
        <v>-3.039817491898116</v>
      </c>
      <c r="AD81" s="1">
        <v>-6.018348960420622</v>
      </c>
      <c r="AE81" s="1">
        <v>-5.00770055928551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>
        <v>1</v>
      </c>
      <c r="CC81" s="1">
        <v>-1</v>
      </c>
      <c r="CD81" s="1">
        <v>-1</v>
      </c>
      <c r="CE81" s="1">
        <v>0</v>
      </c>
      <c r="CF81" s="1">
        <v>1</v>
      </c>
      <c r="CG81" s="1">
        <v>-1</v>
      </c>
      <c r="CH81" s="1" t="s">
        <v>45</v>
      </c>
      <c r="CI81" s="1"/>
      <c r="CJ81" s="1"/>
      <c r="CK81" s="1"/>
      <c r="CL81" s="1">
        <v>5.100036209153616</v>
      </c>
      <c r="CM81" s="1">
        <v>-7.114555225572488</v>
      </c>
      <c r="CN81" s="1">
        <v>1.8190440759298037</v>
      </c>
      <c r="CO81" s="1">
        <v>-1.7268826794384557</v>
      </c>
      <c r="CP81" s="1">
        <v>0.7666751654730861</v>
      </c>
      <c r="CQ81" s="1">
        <v>-2.846061566147304</v>
      </c>
      <c r="CR81" s="1">
        <v>0.4277107207640249</v>
      </c>
      <c r="CS81" s="1">
        <v>0.6141847354041494</v>
      </c>
      <c r="CT81" s="1"/>
      <c r="CU81" s="1"/>
      <c r="CV81" s="1"/>
      <c r="CW81" s="1">
        <v>0.9419401112213213</v>
      </c>
      <c r="CX81" s="1">
        <v>1.8190440759298037</v>
      </c>
      <c r="CY81" s="1">
        <v>0.3591865005190962</v>
      </c>
      <c r="CZ81" s="1" t="s">
        <v>45</v>
      </c>
      <c r="DA81" s="1">
        <v>-98.6951265969445</v>
      </c>
      <c r="DB81" s="1">
        <v>-104.93193960019583</v>
      </c>
      <c r="DC81" s="1">
        <v>-0.41232068946245437</v>
      </c>
      <c r="DD81" s="1">
        <v>0.3857646449463256</v>
      </c>
      <c r="DE81" s="1">
        <v>-3.335463513657536</v>
      </c>
      <c r="DF81" s="1">
        <v>-1.7755831905004034</v>
      </c>
      <c r="DG81" s="1">
        <v>-0.41471209767446277</v>
      </c>
      <c r="DH81" s="1">
        <v>-0.3516000028899852</v>
      </c>
      <c r="DI81" s="1"/>
      <c r="DJ81" s="1"/>
      <c r="DK81" s="1">
        <v>0.0000000000000000000000000000000000000000000000000000020709054990533283</v>
      </c>
      <c r="DL81" s="1">
        <v>0.00000000000000000000000000000000000000000000000000000000003269245646311372</v>
      </c>
      <c r="DM81" s="1">
        <v>0.01049520805346887</v>
      </c>
      <c r="DN81" s="1">
        <v>0.000000034302064669601904</v>
      </c>
      <c r="DO81" s="1">
        <v>0.0000001308652620212076</v>
      </c>
      <c r="DP81" s="1">
        <v>0.000000000000043790885979439565</v>
      </c>
      <c r="DQ81" s="1">
        <v>0.029015095591551344</v>
      </c>
      <c r="DR81" s="1">
        <v>0.05292624557281174</v>
      </c>
      <c r="DS81" s="1"/>
    </row>
    <row r="82" spans="1:12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>
        <v>-1</v>
      </c>
      <c r="Q82" s="1">
        <v>-1</v>
      </c>
      <c r="R82" s="1">
        <v>0</v>
      </c>
      <c r="S82" s="1">
        <v>0</v>
      </c>
      <c r="T82" s="1">
        <v>1</v>
      </c>
      <c r="U82" s="1" t="s">
        <v>45</v>
      </c>
      <c r="V82" s="1"/>
      <c r="W82" s="1"/>
      <c r="X82" s="1"/>
      <c r="Y82" s="1"/>
      <c r="Z82" s="1">
        <v>-5.044032512318147</v>
      </c>
      <c r="AA82" s="1">
        <v>-0.5970587183776108</v>
      </c>
      <c r="AB82" s="1">
        <v>-1.1732189722537205</v>
      </c>
      <c r="AC82" s="1">
        <v>-3.0577777421840517</v>
      </c>
      <c r="AD82" s="1">
        <v>-2.0211984067150324</v>
      </c>
      <c r="AE82" s="1">
        <v>-1.008152239935968</v>
      </c>
      <c r="AF82" s="1"/>
      <c r="AG82" s="1"/>
      <c r="AH82" s="1"/>
      <c r="AI82" s="1"/>
      <c r="AJ82" s="1"/>
      <c r="AK82" s="1"/>
      <c r="AL82" s="1"/>
      <c r="AM82" s="3" t="s">
        <v>58</v>
      </c>
      <c r="AN82" s="1"/>
      <c r="AO82" s="1"/>
      <c r="AP82" s="1"/>
      <c r="AQ82" s="1"/>
      <c r="AR82" s="1"/>
      <c r="AS82" s="1"/>
      <c r="AT82" s="1"/>
      <c r="AU82" s="1"/>
      <c r="AV82" s="1"/>
      <c r="AW82" s="1" t="s">
        <v>44</v>
      </c>
      <c r="AX82" s="1" t="s">
        <v>44</v>
      </c>
      <c r="AY82" s="1" t="s">
        <v>44</v>
      </c>
      <c r="AZ82" s="1" t="s">
        <v>44</v>
      </c>
      <c r="BA82" s="1" t="s">
        <v>44</v>
      </c>
      <c r="BB82" s="1" t="s">
        <v>44</v>
      </c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>
        <v>-1</v>
      </c>
      <c r="CC82" s="1">
        <v>-1</v>
      </c>
      <c r="CD82" s="1">
        <v>0</v>
      </c>
      <c r="CE82" s="1">
        <v>1</v>
      </c>
      <c r="CF82" s="1">
        <v>0</v>
      </c>
      <c r="CG82" s="1">
        <v>1</v>
      </c>
      <c r="CH82" s="1" t="s">
        <v>45</v>
      </c>
      <c r="CI82" s="1"/>
      <c r="CJ82" s="1"/>
      <c r="CK82" s="1"/>
      <c r="CL82" s="1">
        <v>-3.1618443826381566</v>
      </c>
      <c r="CM82" s="1">
        <v>0.6137408608635078</v>
      </c>
      <c r="CN82" s="1">
        <v>0.3591865005190962</v>
      </c>
      <c r="CO82" s="1">
        <v>3.326009222464084</v>
      </c>
      <c r="CP82" s="1">
        <v>-0.9534717169555189</v>
      </c>
      <c r="CQ82" s="1">
        <v>3.7603873196305986</v>
      </c>
      <c r="CR82" s="1">
        <v>-0.466875258889136</v>
      </c>
      <c r="CS82" s="1">
        <v>-0.632113488198141</v>
      </c>
      <c r="CT82" s="1"/>
      <c r="CU82" s="1"/>
      <c r="CV82" s="1"/>
      <c r="CW82" s="1">
        <v>5.124308443829925</v>
      </c>
      <c r="CX82" s="1">
        <v>-1.7268826794384557</v>
      </c>
      <c r="CY82" s="1">
        <v>3.326009222464084</v>
      </c>
      <c r="CZ82" s="1" t="s">
        <v>45</v>
      </c>
      <c r="DA82" s="1">
        <v>-121.52700230935181</v>
      </c>
      <c r="DB82" s="1">
        <v>-90.7533242665569</v>
      </c>
      <c r="DC82" s="1">
        <v>-102.9453617736231</v>
      </c>
      <c r="DD82" s="1">
        <v>16.523012703716365</v>
      </c>
      <c r="DE82" s="1">
        <v>-0.9542676081592738</v>
      </c>
      <c r="DF82" s="1">
        <v>22.33199919721829</v>
      </c>
      <c r="DG82" s="1">
        <v>0.6155916655399455</v>
      </c>
      <c r="DH82" s="1">
        <v>-0.1506120670709005</v>
      </c>
      <c r="DI82" s="1"/>
      <c r="DJ82" s="1"/>
      <c r="DK82" s="1">
        <v>0.0000000000000000000000000000000000000000000000000000000000000002514216359498592</v>
      </c>
      <c r="DL82" s="1">
        <v>0.00000000000000000000000000000000000000000000000000004700477243679964</v>
      </c>
      <c r="DM82" s="1">
        <v>0.000000000000000000000000000000000000000000000031006810617800367</v>
      </c>
      <c r="DN82" s="1">
        <v>0.34965363409399447</v>
      </c>
      <c r="DO82" s="1">
        <v>0.0000014156784501031921</v>
      </c>
      <c r="DP82" s="1">
        <v>0.0012917359157054123</v>
      </c>
      <c r="DQ82" s="1">
        <v>0.08129788450836206</v>
      </c>
      <c r="DR82" s="1">
        <v>0.0647081582612874</v>
      </c>
      <c r="DS82" s="1"/>
    </row>
    <row r="83" spans="1:12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">
        <v>1</v>
      </c>
      <c r="O83" s="1"/>
      <c r="P83" s="1">
        <v>0</v>
      </c>
      <c r="Q83" s="1">
        <v>1</v>
      </c>
      <c r="R83" s="1">
        <v>-1</v>
      </c>
      <c r="S83" s="1">
        <v>-1</v>
      </c>
      <c r="T83" s="1">
        <v>1</v>
      </c>
      <c r="U83" s="1" t="s">
        <v>45</v>
      </c>
      <c r="V83" s="1"/>
      <c r="W83" s="1"/>
      <c r="X83" s="1"/>
      <c r="Y83" s="1"/>
      <c r="Z83" s="1">
        <v>-1.0602196270121014</v>
      </c>
      <c r="AA83" s="1">
        <v>1.532386074601293</v>
      </c>
      <c r="AB83" s="1">
        <v>1.8446540704245233</v>
      </c>
      <c r="AC83" s="1">
        <v>-0.055128528100493845</v>
      </c>
      <c r="AD83" s="1">
        <v>1.9792095591526777</v>
      </c>
      <c r="AE83" s="1">
        <v>-1.008088340287686</v>
      </c>
      <c r="AF83" s="1"/>
      <c r="AG83" s="1"/>
      <c r="AH83" s="1"/>
      <c r="AI83" s="1"/>
      <c r="AJ83" s="1"/>
      <c r="AK83" s="1"/>
      <c r="AL83" s="1"/>
      <c r="AM83" s="1">
        <f>Z93:AE95</f>
        <v>0</v>
      </c>
      <c r="AN83" s="1">
        <v>7.112190635579003</v>
      </c>
      <c r="AO83" s="1">
        <v>5.09237630752456</v>
      </c>
      <c r="AP83" s="1">
        <v>7.044862497114062</v>
      </c>
      <c r="AQ83" s="1">
        <v>4.019148893755977</v>
      </c>
      <c r="AR83" s="1">
        <v>3.0078273490663245</v>
      </c>
      <c r="AS83" s="1"/>
      <c r="AT83" s="1"/>
      <c r="AU83" s="1"/>
      <c r="AV83" s="1" t="s">
        <v>45</v>
      </c>
      <c r="AW83" s="6" cm="1">
        <f t="array" ref="AW83">MMULT(_xlfn.ANCHORARRAY(AM83),AW73:BB78)</f>
        <v>0</v>
      </c>
      <c r="AX83" s="6">
        <v>4.2386800815832935</v>
      </c>
      <c r="AY83" s="6">
        <v>5.08932910309705</v>
      </c>
      <c r="AZ83" s="6">
        <v>4.934714528055147</v>
      </c>
      <c r="BA83" s="6">
        <v>5.06729901992424</v>
      </c>
      <c r="BB83" s="6">
        <v>5.047604917540727</v>
      </c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3">
        <v>1</v>
      </c>
      <c r="CA83" s="1"/>
      <c r="CB83" s="1">
        <v>0</v>
      </c>
      <c r="CC83" s="1">
        <v>1</v>
      </c>
      <c r="CD83" s="1">
        <v>-1</v>
      </c>
      <c r="CE83" s="1">
        <v>-1</v>
      </c>
      <c r="CF83" s="1">
        <v>0</v>
      </c>
      <c r="CG83" s="1">
        <v>1</v>
      </c>
      <c r="CH83" s="1" t="s">
        <v>45</v>
      </c>
      <c r="CI83" s="1"/>
      <c r="CJ83" s="1"/>
      <c r="CK83" s="1"/>
      <c r="CL83" s="1">
        <v>0.2183633931543112</v>
      </c>
      <c r="CM83" s="1">
        <v>-0.9870613692033314</v>
      </c>
      <c r="CN83" s="1">
        <v>-0.9980590764711996</v>
      </c>
      <c r="CO83" s="1">
        <v>-2.1780520707516295</v>
      </c>
      <c r="CP83" s="1">
        <v>-0.39803895343070206</v>
      </c>
      <c r="CQ83" s="1">
        <v>-1.58144302724416</v>
      </c>
      <c r="CR83" s="1">
        <v>-0.715018750044309</v>
      </c>
      <c r="CS83" s="1">
        <v>-0.8073116569769657</v>
      </c>
      <c r="CT83" s="1"/>
      <c r="CU83" s="1"/>
      <c r="CV83" s="1"/>
      <c r="CW83" s="1">
        <v>0.9511351682066258</v>
      </c>
      <c r="CX83" s="1">
        <v>0.7666751654730861</v>
      </c>
      <c r="CY83" s="1">
        <v>-0.9534717169555189</v>
      </c>
      <c r="CZ83" s="1" t="s">
        <v>45</v>
      </c>
      <c r="DA83" s="1">
        <v>-97.11601889219706</v>
      </c>
      <c r="DB83" s="1">
        <v>-98.47300233818491</v>
      </c>
      <c r="DC83" s="1">
        <v>-96.57959732980542</v>
      </c>
      <c r="DD83" s="1">
        <v>-96.92179350933259</v>
      </c>
      <c r="DE83" s="1">
        <v>1.1358540267726356</v>
      </c>
      <c r="DF83" s="1">
        <v>0.8436339445903891</v>
      </c>
      <c r="DG83" s="1">
        <v>0.45862129664032114</v>
      </c>
      <c r="DH83" s="1">
        <v>0.48738459311459553</v>
      </c>
      <c r="DI83" s="1"/>
      <c r="DJ83" s="1"/>
      <c r="DK83" s="1">
        <v>0.000000000000000000000000000000000000000000000000000010045187413979307</v>
      </c>
      <c r="DL83" s="1">
        <v>0.000000000000000000000000000000000000000000000000000000020870284335414177</v>
      </c>
      <c r="DM83" s="1">
        <v>0.000000000000000000000000000000000000000000018033227754874595</v>
      </c>
      <c r="DN83" s="1">
        <v>0.000000000000000000000000000000000000000000000000018844503847102738</v>
      </c>
      <c r="DO83" s="1">
        <v>0.000011447032443354681</v>
      </c>
      <c r="DP83" s="1">
        <v>0.0000000000006010287967782506</v>
      </c>
      <c r="DQ83" s="1">
        <v>0.0694876908288254</v>
      </c>
      <c r="DR83" s="1">
        <v>0.12247218554477829</v>
      </c>
      <c r="DS83" s="1"/>
    </row>
    <row r="84" spans="1:12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>
        <v>0</v>
      </c>
      <c r="Q84" s="1">
        <v>1</v>
      </c>
      <c r="R84" s="1">
        <v>-1</v>
      </c>
      <c r="S84" s="1">
        <v>0</v>
      </c>
      <c r="T84" s="1">
        <v>0</v>
      </c>
      <c r="U84" s="1" t="s">
        <v>45</v>
      </c>
      <c r="V84" s="1"/>
      <c r="W84" s="1"/>
      <c r="X84" s="1"/>
      <c r="Y84" s="1"/>
      <c r="Z84" s="1">
        <v>1.3470690059876487</v>
      </c>
      <c r="AA84" s="1">
        <v>-0.5773814633484387</v>
      </c>
      <c r="AB84" s="1">
        <v>1.143718213643988</v>
      </c>
      <c r="AC84" s="1">
        <v>0.05305456408022824</v>
      </c>
      <c r="AD84" s="1">
        <v>1.0204486329443456</v>
      </c>
      <c r="AE84" s="1">
        <v>-2.9919666213704064</v>
      </c>
      <c r="AF84" s="1"/>
      <c r="AG84" s="1"/>
      <c r="AH84" s="1"/>
      <c r="AI84" s="1"/>
      <c r="AJ84" s="1"/>
      <c r="AK84" s="1"/>
      <c r="AL84" s="1"/>
      <c r="AM84" s="1">
        <v>6.714479492687552</v>
      </c>
      <c r="AN84" s="1">
        <v>1.9040348710949502</v>
      </c>
      <c r="AO84" s="1">
        <v>5.3755689299390195</v>
      </c>
      <c r="AP84" s="1">
        <v>5.15052308668681</v>
      </c>
      <c r="AQ84" s="1">
        <v>4.059988000879967</v>
      </c>
      <c r="AR84" s="1">
        <v>2.0238856730931962</v>
      </c>
      <c r="AS84" s="1"/>
      <c r="AT84" s="1"/>
      <c r="AU84" s="1"/>
      <c r="AV84" s="1" t="s">
        <v>45</v>
      </c>
      <c r="AW84" s="6">
        <v>6.650116050833357</v>
      </c>
      <c r="AX84" s="6">
        <v>3.8599787447896623</v>
      </c>
      <c r="AY84" s="6">
        <v>5.370952084227753</v>
      </c>
      <c r="AZ84" s="6">
        <v>5.119653780109138</v>
      </c>
      <c r="BA84" s="6">
        <v>5.343922281662671</v>
      </c>
      <c r="BB84" s="6">
        <v>5.3038614856412085</v>
      </c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>
        <v>0</v>
      </c>
      <c r="CC84" s="1">
        <v>1</v>
      </c>
      <c r="CD84" s="1">
        <v>0</v>
      </c>
      <c r="CE84" s="1">
        <v>1</v>
      </c>
      <c r="CF84" s="1">
        <v>0</v>
      </c>
      <c r="CG84" s="1">
        <v>0</v>
      </c>
      <c r="CH84" s="1" t="s">
        <v>45</v>
      </c>
      <c r="CI84" s="1"/>
      <c r="CJ84" s="1"/>
      <c r="CK84" s="1"/>
      <c r="CL84" s="1">
        <v>2.382895030375473</v>
      </c>
      <c r="CM84" s="1">
        <v>7.76003847643616</v>
      </c>
      <c r="CN84" s="1">
        <v>5.544707857702213</v>
      </c>
      <c r="CO84" s="1">
        <v>4.176675547761658</v>
      </c>
      <c r="CP84" s="1">
        <v>4.8433269796994125</v>
      </c>
      <c r="CQ84" s="1">
        <v>4.588087673103711</v>
      </c>
      <c r="CR84" s="1">
        <v>0.4049934025785773</v>
      </c>
      <c r="CS84" s="1">
        <v>0.27729722439934457</v>
      </c>
      <c r="CT84" s="1"/>
      <c r="CU84" s="1"/>
      <c r="CV84" s="1"/>
      <c r="CW84" s="1">
        <v>5.715723808756205</v>
      </c>
      <c r="CX84" s="1">
        <v>-2.846061566147304</v>
      </c>
      <c r="CY84" s="1">
        <v>3.7603873196305986</v>
      </c>
      <c r="CZ84" s="1" t="s">
        <v>45</v>
      </c>
      <c r="DA84" s="1">
        <v>-125.88796734742239</v>
      </c>
      <c r="DB84" s="1">
        <v>-86.48266243940525</v>
      </c>
      <c r="DC84" s="1">
        <v>-103.414921400608</v>
      </c>
      <c r="DD84" s="1">
        <v>-79.41388453507173</v>
      </c>
      <c r="DE84" s="1">
        <v>-98.58622531708377</v>
      </c>
      <c r="DF84" s="1">
        <v>27.42891114604704</v>
      </c>
      <c r="DG84" s="1">
        <v>0.9385943922687493</v>
      </c>
      <c r="DH84" s="1">
        <v>-0.0011483711430031976</v>
      </c>
      <c r="DI84" s="1"/>
      <c r="DJ84" s="1"/>
      <c r="DK84" s="1">
        <v>0.0000000000000000000000000000000000000000000000000000000000000000032096641844574227</v>
      </c>
      <c r="DL84" s="1">
        <v>0.000000000000000000000000000000000000000000000000003364083912065158</v>
      </c>
      <c r="DM84" s="1">
        <v>0.000000000000000000000000000000000000000000000019387862980361957</v>
      </c>
      <c r="DN84" s="1">
        <v>0.0000000000000000000000000000000000000000007564373502844542</v>
      </c>
      <c r="DO84" s="1">
        <v>0.0000000000000000000000000000000000000000000000005622689881732674</v>
      </c>
      <c r="DP84" s="1">
        <v>0.21121972316882162</v>
      </c>
      <c r="DQ84" s="1">
        <v>0.11229425716889617</v>
      </c>
      <c r="DR84" s="1">
        <v>0.0751398454388882</v>
      </c>
      <c r="DS84" s="1"/>
    </row>
    <row r="85" spans="1:12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>
        <v>-1</v>
      </c>
      <c r="Q85" s="1">
        <v>1</v>
      </c>
      <c r="R85" s="1">
        <v>0</v>
      </c>
      <c r="S85" s="1">
        <v>-1</v>
      </c>
      <c r="T85" s="1">
        <v>0</v>
      </c>
      <c r="U85" s="1" t="s">
        <v>45</v>
      </c>
      <c r="V85" s="1"/>
      <c r="W85" s="1"/>
      <c r="X85" s="1"/>
      <c r="Y85" s="1"/>
      <c r="Z85" s="1">
        <v>-5.206849012838341</v>
      </c>
      <c r="AA85" s="1">
        <v>-5.268107415131199</v>
      </c>
      <c r="AB85" s="1">
        <v>-0.121865419829283</v>
      </c>
      <c r="AC85" s="1">
        <v>-5.04977442582709</v>
      </c>
      <c r="AD85" s="1">
        <v>0.9800593320900335</v>
      </c>
      <c r="AE85" s="1">
        <v>-3.007953630070319</v>
      </c>
      <c r="AF85" s="1"/>
      <c r="AG85" s="1"/>
      <c r="AH85" s="1"/>
      <c r="AI85" s="1"/>
      <c r="AJ85" s="1"/>
      <c r="AK85" s="1"/>
      <c r="AL85" s="1"/>
      <c r="AM85" s="1">
        <v>-1.6750692869401802</v>
      </c>
      <c r="AN85" s="1">
        <v>-3.310543292991192</v>
      </c>
      <c r="AO85" s="1">
        <v>-5.808931277678054</v>
      </c>
      <c r="AP85" s="1">
        <v>-3.93919554251398</v>
      </c>
      <c r="AQ85" s="1">
        <v>-5.978309626650653</v>
      </c>
      <c r="AR85" s="1">
        <v>-6.991769021020508</v>
      </c>
      <c r="AS85" s="1"/>
      <c r="AT85" s="1"/>
      <c r="AU85" s="1"/>
      <c r="AV85" s="1" t="s">
        <v>45</v>
      </c>
      <c r="AW85" s="6">
        <v>-1.783046313153943</v>
      </c>
      <c r="AX85" s="6">
        <v>-6.2244433052342245</v>
      </c>
      <c r="AY85" s="6">
        <v>-5.810357108465599</v>
      </c>
      <c r="AZ85" s="6">
        <v>-5.859290982050054</v>
      </c>
      <c r="BA85" s="6">
        <v>-5.8138419237330465</v>
      </c>
      <c r="BB85" s="6">
        <v>-5.8340258464048</v>
      </c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>
        <v>0</v>
      </c>
      <c r="CC85" s="1">
        <v>1</v>
      </c>
      <c r="CD85" s="1">
        <v>1</v>
      </c>
      <c r="CE85" s="1">
        <v>0</v>
      </c>
      <c r="CF85" s="1">
        <v>-1</v>
      </c>
      <c r="CG85" s="1">
        <v>0</v>
      </c>
      <c r="CH85" s="1" t="s">
        <v>45</v>
      </c>
      <c r="CI85" s="1"/>
      <c r="CJ85" s="1"/>
      <c r="CK85" s="1"/>
      <c r="CL85" s="1">
        <v>-1.5121008730796892</v>
      </c>
      <c r="CM85" s="1">
        <v>6.659626619378482</v>
      </c>
      <c r="CN85" s="1">
        <v>0.18422304682272683</v>
      </c>
      <c r="CO85" s="1">
        <v>1.7421953354844038</v>
      </c>
      <c r="CP85" s="1">
        <v>0.4514003034488354</v>
      </c>
      <c r="CQ85" s="1">
        <v>1.2764232580302943</v>
      </c>
      <c r="CR85" s="1">
        <v>0.17248360464290324</v>
      </c>
      <c r="CS85" s="1">
        <v>0.10982897563588145</v>
      </c>
      <c r="CT85" s="1"/>
      <c r="CU85" s="1"/>
      <c r="CV85" s="1"/>
      <c r="CW85" s="1">
        <v>0.5123102023558894</v>
      </c>
      <c r="CX85" s="1">
        <v>0.4277107207640249</v>
      </c>
      <c r="CY85" s="1">
        <v>-0.466875258889136</v>
      </c>
      <c r="CZ85" s="1" t="s">
        <v>45</v>
      </c>
      <c r="DA85" s="1">
        <v>-98.08221854551931</v>
      </c>
      <c r="DB85" s="1">
        <v>-98.86114315989518</v>
      </c>
      <c r="DC85" s="1">
        <v>-97.794650830587</v>
      </c>
      <c r="DD85" s="1">
        <v>-97.91103642043632</v>
      </c>
      <c r="DE85" s="1">
        <v>-98.50810305909663</v>
      </c>
      <c r="DF85" s="1">
        <v>-98.57583568224382</v>
      </c>
      <c r="DG85" s="1">
        <v>0.22279892188115333</v>
      </c>
      <c r="DH85" s="1">
        <v>0.23744421113379816</v>
      </c>
      <c r="DI85" s="1"/>
      <c r="DJ85" s="1"/>
      <c r="DK85" s="1">
        <v>0.0000000000000000000000000000000000000000000000000000038224592653213984</v>
      </c>
      <c r="DL85" s="1">
        <v>0.00000000000000000000000000000000000000000000000000000001415666479445318</v>
      </c>
      <c r="DM85" s="1">
        <v>0.000000000000000000000000000000000000000000005350353009191516</v>
      </c>
      <c r="DN85" s="1">
        <v>0.000000000000000000000000000000000000000000000000007007481662235888</v>
      </c>
      <c r="DO85" s="1">
        <v>0.0000000000000000000000000000000000000000000000006079560663231835</v>
      </c>
      <c r="DP85" s="1">
        <v>0.00000000000000000000000000000000000000000000000000000003995473255207705</v>
      </c>
      <c r="DQ85" s="1">
        <v>0.054889784238113484</v>
      </c>
      <c r="DR85" s="1">
        <v>0.09538712062841477</v>
      </c>
      <c r="DS85" s="1"/>
    </row>
    <row r="86" spans="1:12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3">
        <v>2</v>
      </c>
      <c r="CA86" s="1"/>
      <c r="CB86" s="1">
        <v>1</v>
      </c>
      <c r="CC86" s="1">
        <v>0</v>
      </c>
      <c r="CD86" s="1">
        <v>1</v>
      </c>
      <c r="CE86" s="1">
        <v>0</v>
      </c>
      <c r="CF86" s="1">
        <v>0</v>
      </c>
      <c r="CG86" s="1">
        <v>-1</v>
      </c>
      <c r="CH86" s="1" t="s">
        <v>45</v>
      </c>
      <c r="CI86" s="1"/>
      <c r="CJ86" s="1"/>
      <c r="CK86" s="1"/>
      <c r="CL86" s="1">
        <v>3.132305279320343</v>
      </c>
      <c r="CM86" s="1">
        <v>1.722447539796385</v>
      </c>
      <c r="CN86" s="1">
        <v>2.586020733454756</v>
      </c>
      <c r="CO86" s="1">
        <v>1.8136118774117893</v>
      </c>
      <c r="CP86" s="1">
        <v>3.1226823540840667</v>
      </c>
      <c r="CQ86" s="1">
        <v>0.38569818100859665</v>
      </c>
      <c r="CR86" s="1">
        <v>1.5793797866519537</v>
      </c>
      <c r="CS86" s="1">
        <v>1.7143344101757059</v>
      </c>
      <c r="CT86" s="1"/>
      <c r="CU86" s="1"/>
      <c r="CV86" s="1"/>
      <c r="CW86" s="1">
        <v>0.35820721093753405</v>
      </c>
      <c r="CX86" s="1">
        <v>0.6141847354041494</v>
      </c>
      <c r="CY86" s="1">
        <v>-0.632113488198141</v>
      </c>
      <c r="CZ86" s="1" t="s">
        <v>45</v>
      </c>
      <c r="DA86" s="1">
        <v>-96.99473863865359</v>
      </c>
      <c r="DB86" s="1">
        <v>-99.4828665596038</v>
      </c>
      <c r="DC86" s="1">
        <v>-97.55391854661173</v>
      </c>
      <c r="DD86" s="1">
        <v>-98.56257122387545</v>
      </c>
      <c r="DE86" s="1">
        <v>-98.57850330464477</v>
      </c>
      <c r="DF86" s="1">
        <v>-99.62831362937565</v>
      </c>
      <c r="DG86" s="1">
        <v>-98.80799122264902</v>
      </c>
      <c r="DH86" s="1">
        <v>0.24483780613613124</v>
      </c>
      <c r="DI86" s="1"/>
      <c r="DJ86" s="1"/>
      <c r="DK86" s="1">
        <v>0.000000000000000000000000000000000000000000000000000011340426514222502</v>
      </c>
      <c r="DL86" s="1">
        <v>0.00000000000000000000000000000000000000000000000000000000760238583509886</v>
      </c>
      <c r="DM86" s="1">
        <v>0.000000000000000000000000000000000000000000006806614266864381</v>
      </c>
      <c r="DN86" s="1">
        <v>0.00000000000000000000000000000000000000000000000000365261585583095</v>
      </c>
      <c r="DO86" s="1">
        <v>0.00000000000000000000000000000000000000000000000056662764343039124</v>
      </c>
      <c r="DP86" s="1">
        <v>0.000000000000000000000000000000000000000000000000000000013947066228422775</v>
      </c>
      <c r="DQ86" s="1">
        <v>0.000000000000000000000000000000000000000000005382274277282803</v>
      </c>
      <c r="DR86" s="1">
        <v>0.09609498798441038</v>
      </c>
      <c r="DS86" s="1"/>
    </row>
    <row r="87" spans="1:12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>
        <v>0</v>
      </c>
      <c r="CC87" s="1">
        <v>1</v>
      </c>
      <c r="CD87" s="1">
        <v>0</v>
      </c>
      <c r="CE87" s="1">
        <v>1</v>
      </c>
      <c r="CF87" s="1">
        <v>0</v>
      </c>
      <c r="CG87" s="1">
        <v>1</v>
      </c>
      <c r="CH87" s="1" t="s">
        <v>45</v>
      </c>
      <c r="CI87" s="1"/>
      <c r="CJ87" s="1"/>
      <c r="CK87" s="1"/>
      <c r="CL87" s="1">
        <v>2.5717193202119706</v>
      </c>
      <c r="CM87" s="1">
        <v>9.10916550789272</v>
      </c>
      <c r="CN87" s="1">
        <v>7.491856015204865</v>
      </c>
      <c r="CO87" s="1">
        <v>7.138244576885901</v>
      </c>
      <c r="CP87" s="1">
        <v>6.614498663397258</v>
      </c>
      <c r="CQ87" s="1">
        <v>7.1527301464987465</v>
      </c>
      <c r="CR87" s="1">
        <v>0.8024791802970861</v>
      </c>
      <c r="CS87" s="1">
        <v>0.552206489399944</v>
      </c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</row>
    <row r="88" spans="1:12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>
        <v>0</v>
      </c>
      <c r="CC88" s="1">
        <v>0</v>
      </c>
      <c r="CD88" s="1">
        <v>1</v>
      </c>
      <c r="CE88" s="1">
        <v>-1</v>
      </c>
      <c r="CF88" s="1">
        <v>0</v>
      </c>
      <c r="CG88" s="1">
        <v>1</v>
      </c>
      <c r="CH88" s="1" t="s">
        <v>45</v>
      </c>
      <c r="CI88" s="1"/>
      <c r="CJ88" s="1"/>
      <c r="CK88" s="1"/>
      <c r="CL88" s="1">
        <v>-1.6712987588227066</v>
      </c>
      <c r="CM88" s="1">
        <v>-0.4329221881058769</v>
      </c>
      <c r="CN88" s="1">
        <v>-1.423678972282043</v>
      </c>
      <c r="CO88" s="1">
        <v>1.0008695373542396</v>
      </c>
      <c r="CP88" s="1">
        <v>1.1218132030270822</v>
      </c>
      <c r="CQ88" s="1">
        <v>1.1305606202119909</v>
      </c>
      <c r="CR88" s="1">
        <v>1.1075150044153494</v>
      </c>
      <c r="CS88" s="1">
        <v>1.080631240515657</v>
      </c>
      <c r="CT88" s="1"/>
      <c r="CU88" s="1"/>
      <c r="CV88" s="1"/>
      <c r="CW88" s="1"/>
      <c r="CX88" s="1"/>
      <c r="CY88" s="1"/>
      <c r="CZ88" s="1"/>
      <c r="DA88" s="3" t="s">
        <v>58</v>
      </c>
      <c r="DB88" s="1"/>
      <c r="DC88" s="1"/>
      <c r="DD88" s="1"/>
      <c r="DE88" s="1"/>
      <c r="DF88" s="1"/>
      <c r="DG88" s="1"/>
      <c r="DH88" s="1"/>
      <c r="DI88" s="1"/>
      <c r="DJ88" s="1"/>
      <c r="DK88" s="1" t="s">
        <v>44</v>
      </c>
      <c r="DL88" s="1" t="s">
        <v>44</v>
      </c>
      <c r="DM88" s="1" t="s">
        <v>44</v>
      </c>
      <c r="DN88" s="1" t="s">
        <v>44</v>
      </c>
      <c r="DO88" s="1" t="s">
        <v>44</v>
      </c>
      <c r="DP88" s="1" t="s">
        <v>44</v>
      </c>
      <c r="DQ88" s="1" t="s">
        <v>44</v>
      </c>
      <c r="DR88" s="1" t="s">
        <v>44</v>
      </c>
      <c r="DS88" s="1"/>
    </row>
    <row r="89" spans="1:12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5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>
        <f>CL93:CS95</f>
        <v>0</v>
      </c>
      <c r="DB89" s="1">
        <v>3.184925059107293</v>
      </c>
      <c r="DC89" s="1">
        <v>8.895594625365693</v>
      </c>
      <c r="DD89" s="1">
        <v>5.031609048061656</v>
      </c>
      <c r="DE89" s="1">
        <v>8.887741760601786</v>
      </c>
      <c r="DF89" s="1">
        <v>4.680562042232889</v>
      </c>
      <c r="DG89" s="1">
        <v>1.4943566122618277</v>
      </c>
      <c r="DH89" s="1">
        <v>1.3494002669628027</v>
      </c>
      <c r="DI89" s="1"/>
      <c r="DJ89" s="1" t="s">
        <v>45</v>
      </c>
      <c r="DK89" s="6" cm="1">
        <f t="array" ref="DK89">MMULT(_xlfn.ANCHORARRAY(DA89),DK79:DR86)</f>
        <v>0</v>
      </c>
      <c r="DL89" s="6">
        <v>3.184925059107293</v>
      </c>
      <c r="DM89" s="6">
        <v>7.276508955290204</v>
      </c>
      <c r="DN89" s="6">
        <v>3.830625022756144</v>
      </c>
      <c r="DO89" s="6">
        <v>3.184993903467531</v>
      </c>
      <c r="DP89" s="6">
        <v>3.5032185166813017</v>
      </c>
      <c r="DQ89" s="6">
        <v>4.0260806166618</v>
      </c>
      <c r="DR89" s="6">
        <v>4.3132950089365645</v>
      </c>
      <c r="DS89" s="1"/>
    </row>
    <row r="90" spans="1:12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3" t="s">
        <v>50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>
        <v>2.382895030375473</v>
      </c>
      <c r="DB90" s="1">
        <v>7.76003847643616</v>
      </c>
      <c r="DC90" s="1">
        <v>5.544707857702213</v>
      </c>
      <c r="DD90" s="1">
        <v>4.176675547761658</v>
      </c>
      <c r="DE90" s="1">
        <v>4.8433269796994125</v>
      </c>
      <c r="DF90" s="1">
        <v>4.588087673103711</v>
      </c>
      <c r="DG90" s="1">
        <v>0.4049934025785773</v>
      </c>
      <c r="DH90" s="1">
        <v>0.27729722439934457</v>
      </c>
      <c r="DI90" s="1"/>
      <c r="DJ90" s="1" t="s">
        <v>45</v>
      </c>
      <c r="DK90" s="6">
        <v>2.382895030375473</v>
      </c>
      <c r="DL90" s="6">
        <v>7.76003847643616</v>
      </c>
      <c r="DM90" s="6">
        <v>2.635380723271024</v>
      </c>
      <c r="DN90" s="6">
        <v>6.507102530156996</v>
      </c>
      <c r="DO90" s="6">
        <v>7.759999469848996</v>
      </c>
      <c r="DP90" s="6">
        <v>7.085431147255333</v>
      </c>
      <c r="DQ90" s="6">
        <v>6.373659150608678</v>
      </c>
      <c r="DR90" s="6">
        <v>5.099330178489644</v>
      </c>
      <c r="DS90" s="1"/>
    </row>
    <row r="91" spans="1:12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>
        <v>1</v>
      </c>
      <c r="AI91" s="1"/>
      <c r="AJ91" s="1"/>
      <c r="AK91" s="1"/>
      <c r="AL91" s="1"/>
      <c r="AM91" s="1" t="s">
        <v>52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>
        <v>2.4609638082317273</v>
      </c>
      <c r="DB91" s="1">
        <v>-0.5228251078352595</v>
      </c>
      <c r="DC91" s="1">
        <v>4.352111304366417</v>
      </c>
      <c r="DD91" s="1">
        <v>3.8151025990172815</v>
      </c>
      <c r="DE91" s="1">
        <v>4.007171947546217</v>
      </c>
      <c r="DF91" s="1">
        <v>4.068331573403961</v>
      </c>
      <c r="DG91" s="1">
        <v>1.075858091150307</v>
      </c>
      <c r="DH91" s="1">
        <v>1.0650904471204108</v>
      </c>
      <c r="DI91" s="1"/>
      <c r="DJ91" s="1" t="s">
        <v>45</v>
      </c>
      <c r="DK91" s="6">
        <v>2.4609638082317273</v>
      </c>
      <c r="DL91" s="6">
        <v>-0.5228251078352595</v>
      </c>
      <c r="DM91" s="6">
        <v>2.359120730464739</v>
      </c>
      <c r="DN91" s="6">
        <v>0.9939472465231489</v>
      </c>
      <c r="DO91" s="6">
        <v>-0.5227663316328555</v>
      </c>
      <c r="DP91" s="6">
        <v>0.4525211924223856</v>
      </c>
      <c r="DQ91" s="6">
        <v>0.9272197176113407</v>
      </c>
      <c r="DR91" s="6">
        <v>1.3846663205546315</v>
      </c>
      <c r="DS91" s="1"/>
    </row>
    <row r="92" spans="1:12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5" t="s">
        <v>59</v>
      </c>
      <c r="Q92" s="1"/>
      <c r="R92" s="1"/>
      <c r="S92" s="1"/>
      <c r="T92" s="1"/>
      <c r="U92" s="1"/>
      <c r="V92" s="1"/>
      <c r="W92" s="1"/>
      <c r="X92" s="1"/>
      <c r="Y92" s="1"/>
      <c r="Z92" s="1" t="s">
        <v>58</v>
      </c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>
        <f>Z70:AE72</f>
        <v>0</v>
      </c>
      <c r="AN92" s="1">
        <v>6.495218743488071</v>
      </c>
      <c r="AO92" s="1">
        <v>10.308355503014587</v>
      </c>
      <c r="AP92" s="1">
        <v>10.139808517112671</v>
      </c>
      <c r="AQ92" s="1">
        <v>8.058288295023921</v>
      </c>
      <c r="AR92" s="1">
        <v>9.02361624863952</v>
      </c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5" t="s">
        <v>59</v>
      </c>
      <c r="CC92" s="1"/>
      <c r="CD92" s="1"/>
      <c r="CE92" s="1"/>
      <c r="CF92" s="1"/>
      <c r="CG92" s="1"/>
      <c r="CH92" s="1"/>
      <c r="CI92" s="1"/>
      <c r="CJ92" s="1"/>
      <c r="CK92" s="1"/>
      <c r="CL92" s="1" t="s">
        <v>58</v>
      </c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</row>
    <row r="93" spans="1:12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">
        <v>0</v>
      </c>
      <c r="O93" s="1"/>
      <c r="P93" s="1">
        <v>1</v>
      </c>
      <c r="Q93" s="1">
        <v>1</v>
      </c>
      <c r="R93" s="1">
        <v>-1</v>
      </c>
      <c r="S93" s="1">
        <v>0</v>
      </c>
      <c r="T93" s="1">
        <v>1</v>
      </c>
      <c r="U93" s="1" t="s">
        <v>45</v>
      </c>
      <c r="V93" s="1"/>
      <c r="W93" s="1"/>
      <c r="X93" s="1"/>
      <c r="Y93" s="1"/>
      <c r="Z93" s="1" cm="1">
        <f t="array" ref="Z93">MMULT(P93:T98,_xlfn.ANCHORARRAY(Z50))</f>
        <v>0</v>
      </c>
      <c r="AA93" s="1">
        <v>7.112190635579003</v>
      </c>
      <c r="AB93" s="1">
        <v>5.09237630752456</v>
      </c>
      <c r="AC93" s="1">
        <v>7.044862497114062</v>
      </c>
      <c r="AD93" s="1">
        <v>4.019148893755977</v>
      </c>
      <c r="AE93" s="1">
        <v>3.0078273490663245</v>
      </c>
      <c r="AF93" s="1"/>
      <c r="AG93" s="1"/>
      <c r="AH93" s="1"/>
      <c r="AI93" s="1"/>
      <c r="AJ93" s="1"/>
      <c r="AK93" s="1"/>
      <c r="AL93" s="1"/>
      <c r="AM93" s="1">
        <v>6.939312432435424</v>
      </c>
      <c r="AN93" s="1">
        <v>4.717061525098171</v>
      </c>
      <c r="AO93" s="1">
        <v>6.344078295761057</v>
      </c>
      <c r="AP93" s="1">
        <v>6.145484446498197</v>
      </c>
      <c r="AQ93" s="1">
        <v>4.059188227525946</v>
      </c>
      <c r="AR93" s="1">
        <v>1.0237588873313261</v>
      </c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3">
        <v>0</v>
      </c>
      <c r="CA93" s="1"/>
      <c r="CB93" s="1">
        <v>1</v>
      </c>
      <c r="CC93" s="1">
        <v>1</v>
      </c>
      <c r="CD93" s="1">
        <v>-1</v>
      </c>
      <c r="CE93" s="1">
        <v>0</v>
      </c>
      <c r="CF93" s="1">
        <v>1</v>
      </c>
      <c r="CG93" s="1">
        <v>1</v>
      </c>
      <c r="CH93" s="1" t="s">
        <v>45</v>
      </c>
      <c r="CI93" s="1"/>
      <c r="CJ93" s="1"/>
      <c r="CK93" s="1"/>
      <c r="CL93" s="1">
        <f>MMULT($CB93:$CG101,CL52:CS57)</f>
        <v>0</v>
      </c>
      <c r="CM93" s="1">
        <v>3.184925059107293</v>
      </c>
      <c r="CN93" s="1">
        <v>8.895594625365693</v>
      </c>
      <c r="CO93" s="1">
        <v>5.031609048061656</v>
      </c>
      <c r="CP93" s="1">
        <v>8.887741760601786</v>
      </c>
      <c r="CQ93" s="1">
        <v>4.680562042232889</v>
      </c>
      <c r="CR93" s="1">
        <v>1.4943566122618277</v>
      </c>
      <c r="CS93" s="1">
        <v>1.3494002669628027</v>
      </c>
      <c r="CT93" s="1"/>
      <c r="CU93" s="1"/>
      <c r="CV93" s="3" t="s">
        <v>50</v>
      </c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</row>
    <row r="94" spans="1:12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>
        <v>0</v>
      </c>
      <c r="Q94" s="1">
        <v>1</v>
      </c>
      <c r="R94" s="1">
        <v>0</v>
      </c>
      <c r="S94" s="1">
        <v>1</v>
      </c>
      <c r="T94" s="1">
        <v>0</v>
      </c>
      <c r="U94" s="1" t="s">
        <v>45</v>
      </c>
      <c r="V94" s="1"/>
      <c r="W94" s="1"/>
      <c r="X94" s="1"/>
      <c r="Y94" s="1"/>
      <c r="Z94" s="1">
        <v>6.714479492687552</v>
      </c>
      <c r="AA94" s="1">
        <v>1.9040348710949502</v>
      </c>
      <c r="AB94" s="1">
        <v>5.3755689299390195</v>
      </c>
      <c r="AC94" s="1">
        <v>5.15052308668681</v>
      </c>
      <c r="AD94" s="1">
        <v>4.059988000879967</v>
      </c>
      <c r="AE94" s="1">
        <v>2.0238856730931962</v>
      </c>
      <c r="AF94" s="1"/>
      <c r="AG94" s="1"/>
      <c r="AH94" s="1"/>
      <c r="AI94" s="1"/>
      <c r="AJ94" s="1"/>
      <c r="AK94" s="1"/>
      <c r="AL94" s="1"/>
      <c r="AM94" s="1">
        <v>-5.206849012838341</v>
      </c>
      <c r="AN94" s="1">
        <v>-5.268107415131199</v>
      </c>
      <c r="AO94" s="1">
        <v>-0.121865419829283</v>
      </c>
      <c r="AP94" s="1">
        <v>-5.04977442582709</v>
      </c>
      <c r="AQ94" s="1">
        <v>0.9800593320900335</v>
      </c>
      <c r="AR94" s="1">
        <v>-3.007953630070319</v>
      </c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>
        <v>0</v>
      </c>
      <c r="CC94" s="1">
        <v>1</v>
      </c>
      <c r="CD94" s="1">
        <v>0</v>
      </c>
      <c r="CE94" s="1">
        <v>1</v>
      </c>
      <c r="CF94" s="1">
        <v>0</v>
      </c>
      <c r="CG94" s="1">
        <v>0</v>
      </c>
      <c r="CH94" s="1" t="s">
        <v>45</v>
      </c>
      <c r="CI94" s="1"/>
      <c r="CJ94" s="1"/>
      <c r="CK94" s="1"/>
      <c r="CL94" s="1">
        <v>2.382895030375473</v>
      </c>
      <c r="CM94" s="1">
        <v>7.76003847643616</v>
      </c>
      <c r="CN94" s="1">
        <v>5.544707857702213</v>
      </c>
      <c r="CO94" s="1">
        <v>4.176675547761658</v>
      </c>
      <c r="CP94" s="1">
        <v>4.8433269796994125</v>
      </c>
      <c r="CQ94" s="1">
        <v>4.588087673103711</v>
      </c>
      <c r="CR94" s="1">
        <v>0.4049934025785773</v>
      </c>
      <c r="CS94" s="1">
        <v>0.27729722439934457</v>
      </c>
      <c r="CT94" s="1"/>
      <c r="CU94" s="1"/>
      <c r="CV94" s="1">
        <v>1</v>
      </c>
      <c r="CW94" s="1"/>
      <c r="CX94" s="1"/>
      <c r="CY94" s="1"/>
      <c r="CZ94" s="1"/>
      <c r="DA94" s="1" t="s">
        <v>52</v>
      </c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</row>
    <row r="95" spans="1:12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>
        <v>0</v>
      </c>
      <c r="Q95" s="1">
        <v>-1</v>
      </c>
      <c r="R95" s="1">
        <v>-1</v>
      </c>
      <c r="S95" s="1">
        <v>1</v>
      </c>
      <c r="T95" s="1">
        <v>-1</v>
      </c>
      <c r="U95" s="1" t="s">
        <v>45</v>
      </c>
      <c r="V95" s="1"/>
      <c r="W95" s="1"/>
      <c r="X95" s="1"/>
      <c r="Y95" s="1"/>
      <c r="Z95" s="1">
        <v>-1.6750692869401802</v>
      </c>
      <c r="AA95" s="1">
        <v>-3.310543292991192</v>
      </c>
      <c r="AB95" s="1">
        <v>-5.808931277678054</v>
      </c>
      <c r="AC95" s="1">
        <v>-3.93919554251398</v>
      </c>
      <c r="AD95" s="1">
        <v>-5.978309626650653</v>
      </c>
      <c r="AE95" s="1">
        <v>-6.991769021020508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>
        <v>0</v>
      </c>
      <c r="CC95" s="1">
        <v>-1</v>
      </c>
      <c r="CD95" s="1">
        <v>0</v>
      </c>
      <c r="CE95" s="1">
        <v>1</v>
      </c>
      <c r="CF95" s="1">
        <v>1</v>
      </c>
      <c r="CG95" s="1">
        <v>0</v>
      </c>
      <c r="CH95" s="1" t="s">
        <v>45</v>
      </c>
      <c r="CI95" s="1"/>
      <c r="CJ95" s="1"/>
      <c r="CK95" s="1"/>
      <c r="CL95" s="1">
        <v>2.4609638082317273</v>
      </c>
      <c r="CM95" s="1">
        <v>-0.5228251078352595</v>
      </c>
      <c r="CN95" s="1">
        <v>4.352111304366417</v>
      </c>
      <c r="CO95" s="1">
        <v>3.8151025990172815</v>
      </c>
      <c r="CP95" s="1">
        <v>4.007171947546217</v>
      </c>
      <c r="CQ95" s="1">
        <v>4.068331573403961</v>
      </c>
      <c r="CR95" s="1">
        <v>1.075858091150307</v>
      </c>
      <c r="CS95" s="1">
        <v>1.0650904471204108</v>
      </c>
      <c r="CT95" s="1"/>
      <c r="CU95" s="1"/>
      <c r="CV95" s="1"/>
      <c r="CW95" s="1"/>
      <c r="CX95" s="1"/>
      <c r="CY95" s="1"/>
      <c r="CZ95" s="1"/>
      <c r="DA95" s="1">
        <f>CL70:CS72</f>
        <v>0</v>
      </c>
      <c r="DB95" s="1">
        <v>10.604904291378352</v>
      </c>
      <c r="DC95" s="1">
        <v>10.06426730700188</v>
      </c>
      <c r="DD95" s="1">
        <v>9.41032451875899</v>
      </c>
      <c r="DE95" s="1">
        <v>12.261673744139218</v>
      </c>
      <c r="DF95" s="1">
        <v>10.985649197514725</v>
      </c>
      <c r="DG95" s="1">
        <v>2.7242036661746263</v>
      </c>
      <c r="DH95" s="1">
        <v>2.5157174128141397</v>
      </c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</row>
    <row r="96" spans="1:12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">
        <v>1</v>
      </c>
      <c r="O96" s="1"/>
      <c r="P96" s="1">
        <v>-1</v>
      </c>
      <c r="Q96" s="1">
        <v>1</v>
      </c>
      <c r="R96" s="1">
        <v>1</v>
      </c>
      <c r="S96" s="1">
        <v>0</v>
      </c>
      <c r="T96" s="1">
        <v>1</v>
      </c>
      <c r="U96" s="1" t="s">
        <v>45</v>
      </c>
      <c r="V96" s="1"/>
      <c r="W96" s="1"/>
      <c r="X96" s="1"/>
      <c r="Y96" s="1"/>
      <c r="Z96" s="1">
        <v>1.7530388705855742</v>
      </c>
      <c r="AA96" s="1">
        <v>0.9154141825103603</v>
      </c>
      <c r="AB96" s="1">
        <v>7.060633265914551</v>
      </c>
      <c r="AC96" s="1">
        <v>3.039817491898116</v>
      </c>
      <c r="AD96" s="1">
        <v>6.018348960420622</v>
      </c>
      <c r="AE96" s="1">
        <v>5.00770055928551</v>
      </c>
      <c r="AF96" s="1"/>
      <c r="AG96" s="1"/>
      <c r="AH96" s="1"/>
      <c r="AI96" s="1"/>
      <c r="AJ96" s="1"/>
      <c r="AK96" s="1"/>
      <c r="AL96" s="1"/>
      <c r="AM96" s="5" t="s">
        <v>53</v>
      </c>
      <c r="AN96" s="1"/>
      <c r="AO96" s="1"/>
      <c r="AP96" s="1"/>
      <c r="AQ96" s="1"/>
      <c r="AR96" s="1"/>
      <c r="AS96" s="1"/>
      <c r="AT96" s="1"/>
      <c r="AU96" s="1"/>
      <c r="AV96" s="1" t="s">
        <v>8</v>
      </c>
      <c r="AW96" s="1">
        <v>0</v>
      </c>
      <c r="AX96" s="1">
        <v>1</v>
      </c>
      <c r="AY96" s="1">
        <v>2</v>
      </c>
      <c r="AZ96" s="1">
        <v>3</v>
      </c>
      <c r="BA96" s="1">
        <v>4</v>
      </c>
      <c r="BB96" s="1">
        <v>5</v>
      </c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3">
        <v>1</v>
      </c>
      <c r="CA96" s="1"/>
      <c r="CB96" s="1">
        <v>-1</v>
      </c>
      <c r="CC96" s="1">
        <v>1</v>
      </c>
      <c r="CD96" s="1">
        <v>1</v>
      </c>
      <c r="CE96" s="1">
        <v>0</v>
      </c>
      <c r="CF96" s="1">
        <v>0</v>
      </c>
      <c r="CG96" s="1">
        <v>1</v>
      </c>
      <c r="CH96" s="1" t="s">
        <v>45</v>
      </c>
      <c r="CI96" s="1"/>
      <c r="CJ96" s="1"/>
      <c r="CK96" s="1"/>
      <c r="CL96" s="1">
        <v>-3.0651633543576584</v>
      </c>
      <c r="CM96" s="1">
        <v>6.432917863067728</v>
      </c>
      <c r="CN96" s="1">
        <v>0.17061360516498714</v>
      </c>
      <c r="CO96" s="1">
        <v>2.2006633999457055</v>
      </c>
      <c r="CP96" s="1">
        <v>2.975893030106728</v>
      </c>
      <c r="CQ96" s="1">
        <v>4.723644128037677</v>
      </c>
      <c r="CR96" s="1">
        <v>0.5148283038684898</v>
      </c>
      <c r="CS96" s="1">
        <v>0.3590054888743712</v>
      </c>
      <c r="CT96" s="1"/>
      <c r="CU96" s="1"/>
      <c r="CV96" s="1"/>
      <c r="CW96" s="1"/>
      <c r="CX96" s="1"/>
      <c r="CY96" s="1"/>
      <c r="CZ96" s="1"/>
      <c r="DA96" s="1">
        <v>2.5717193202119706</v>
      </c>
      <c r="DB96" s="1">
        <v>9.10916550789272</v>
      </c>
      <c r="DC96" s="1">
        <v>7.491856015204865</v>
      </c>
      <c r="DD96" s="1">
        <v>7.138244576885901</v>
      </c>
      <c r="DE96" s="1">
        <v>6.614498663397258</v>
      </c>
      <c r="DF96" s="1">
        <v>7.1527301464987465</v>
      </c>
      <c r="DG96" s="1">
        <v>0.8024791802970861</v>
      </c>
      <c r="DH96" s="1">
        <v>0.552206489399944</v>
      </c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</row>
    <row r="97" spans="1:12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>
        <v>-1</v>
      </c>
      <c r="Q97" s="1">
        <v>0</v>
      </c>
      <c r="R97" s="1">
        <v>0</v>
      </c>
      <c r="S97" s="1">
        <v>1</v>
      </c>
      <c r="T97" s="1">
        <v>-1</v>
      </c>
      <c r="U97" s="1" t="s">
        <v>45</v>
      </c>
      <c r="V97" s="1"/>
      <c r="W97" s="1"/>
      <c r="X97" s="1"/>
      <c r="Y97" s="1"/>
      <c r="Z97" s="1">
        <v>-1.5145078130786183</v>
      </c>
      <c r="AA97" s="1">
        <v>-6.097234373679003</v>
      </c>
      <c r="AB97" s="1">
        <v>-1.6989459812123044</v>
      </c>
      <c r="AC97" s="1">
        <v>-3.891501445734488</v>
      </c>
      <c r="AD97" s="1">
        <v>-1.9587109266249974</v>
      </c>
      <c r="AE97" s="1">
        <v>-4.983870356627225</v>
      </c>
      <c r="AF97" s="1"/>
      <c r="AG97" s="1"/>
      <c r="AH97" s="1"/>
      <c r="AI97" s="1" t="s">
        <v>54</v>
      </c>
      <c r="AJ97" s="1"/>
      <c r="AK97" s="1"/>
      <c r="AL97" s="1"/>
      <c r="AM97" s="1" t="s">
        <v>44</v>
      </c>
      <c r="AN97" s="1" t="s">
        <v>44</v>
      </c>
      <c r="AO97" s="1" t="s">
        <v>44</v>
      </c>
      <c r="AP97" s="1" t="s">
        <v>44</v>
      </c>
      <c r="AQ97" s="1" t="s">
        <v>44</v>
      </c>
      <c r="AR97" s="1" t="s">
        <v>44</v>
      </c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>
        <v>-1</v>
      </c>
      <c r="CC97" s="1">
        <v>0</v>
      </c>
      <c r="CD97" s="1">
        <v>0</v>
      </c>
      <c r="CE97" s="1">
        <v>1</v>
      </c>
      <c r="CF97" s="1">
        <v>0</v>
      </c>
      <c r="CG97" s="1">
        <v>-1</v>
      </c>
      <c r="CH97" s="1" t="s">
        <v>45</v>
      </c>
      <c r="CI97" s="1"/>
      <c r="CJ97" s="1"/>
      <c r="CK97" s="1"/>
      <c r="CL97" s="1">
        <v>-2.561090923841301</v>
      </c>
      <c r="CM97" s="1">
        <v>1.7160999088337145</v>
      </c>
      <c r="CN97" s="1">
        <v>-1.9439826972709153</v>
      </c>
      <c r="CO97" s="1">
        <v>-2.17945200115859</v>
      </c>
      <c r="CP97" s="1">
        <v>-2.2064534704847047</v>
      </c>
      <c r="CQ97" s="1">
        <v>-0.17022829636441061</v>
      </c>
      <c r="CR97" s="1">
        <v>-1.1260096462957612</v>
      </c>
      <c r="CS97" s="1">
        <v>-1.0892335174206125</v>
      </c>
      <c r="CT97" s="1"/>
      <c r="CU97" s="1"/>
      <c r="CV97" s="1"/>
      <c r="CW97" s="1"/>
      <c r="CX97" s="1"/>
      <c r="CY97" s="1"/>
      <c r="CZ97" s="1"/>
      <c r="DA97" s="1">
        <v>-2.1679777245502363</v>
      </c>
      <c r="DB97" s="1">
        <v>-1.7346480424368154</v>
      </c>
      <c r="DC97" s="1">
        <v>-4.323211222432018</v>
      </c>
      <c r="DD97" s="1">
        <v>-5.844422843172973</v>
      </c>
      <c r="DE97" s="1">
        <v>0.48871729099364414</v>
      </c>
      <c r="DF97" s="1">
        <v>-1.308170614901242</v>
      </c>
      <c r="DG97" s="1">
        <v>-0.18846014501071462</v>
      </c>
      <c r="DH97" s="1">
        <v>-0.1176329746039999</v>
      </c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</row>
    <row r="98" spans="1:12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>
        <v>0</v>
      </c>
      <c r="Q98" s="1">
        <v>0</v>
      </c>
      <c r="R98" s="1">
        <v>-1</v>
      </c>
      <c r="S98" s="1">
        <v>-1</v>
      </c>
      <c r="T98" s="1">
        <v>0</v>
      </c>
      <c r="U98" s="1" t="s">
        <v>45</v>
      </c>
      <c r="V98" s="1"/>
      <c r="W98" s="1"/>
      <c r="X98" s="1"/>
      <c r="Y98" s="1"/>
      <c r="Z98" s="1">
        <v>-5.367410486699903</v>
      </c>
      <c r="AA98" s="1">
        <v>-2.481416334443389</v>
      </c>
      <c r="AB98" s="1">
        <v>-4.231850716295032</v>
      </c>
      <c r="AC98" s="1">
        <v>-5.097468522606583</v>
      </c>
      <c r="AD98" s="1">
        <v>-3.039539367935622</v>
      </c>
      <c r="AE98" s="1">
        <v>-5.015852294463603</v>
      </c>
      <c r="AF98" s="1"/>
      <c r="AG98" s="1"/>
      <c r="AH98" s="1"/>
      <c r="AI98" s="1">
        <f>TRANSPOSE(Z83:AE85)</f>
        <v>0</v>
      </c>
      <c r="AJ98" s="1">
        <v>1.3470690059876487</v>
      </c>
      <c r="AK98" s="1">
        <v>-5.206849012838341</v>
      </c>
      <c r="AL98" s="1" t="s">
        <v>45</v>
      </c>
      <c r="AM98" s="1" cm="1">
        <f t="array" ref="AM98">MMULT(_xlfn.ANCHORARRAY(AI98),_xlfn.ANCHORARRAY(AM92)) / SQRT(3)</f>
        <v>0</v>
      </c>
      <c r="AN98" s="1">
        <v>15.529618855679114</v>
      </c>
      <c r="AO98" s="1">
        <v>-1.0095978329023896</v>
      </c>
      <c r="AP98" s="1">
        <v>13.753280504675008</v>
      </c>
      <c r="AQ98" s="1">
        <v>-4.721899432633628</v>
      </c>
      <c r="AR98" s="1">
        <v>4.315126998601878</v>
      </c>
      <c r="AS98" s="1"/>
      <c r="AT98" s="1"/>
      <c r="AU98" s="1"/>
      <c r="AV98" s="1"/>
      <c r="AW98" s="1">
        <f>SOFTMAX(AM98:AM103)</f>
        <v>0</v>
      </c>
      <c r="AX98" s="1">
        <f>SOFTMAX(AN98:AN103)</f>
        <v>0</v>
      </c>
      <c r="AY98" s="1">
        <f>SOFTMAX(AO98:AO103)</f>
        <v>0</v>
      </c>
      <c r="AZ98" s="1">
        <f>SOFTMAX(AP98:AP103)</f>
        <v>0</v>
      </c>
      <c r="BA98" s="1">
        <f>SOFTMAX(AQ98:AQ103)</f>
        <v>0</v>
      </c>
      <c r="BB98" s="1">
        <f>SOFTMAX(AR98:AR103)</f>
        <v>0</v>
      </c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>
        <v>0</v>
      </c>
      <c r="CC98" s="1">
        <v>1</v>
      </c>
      <c r="CD98" s="1">
        <v>1</v>
      </c>
      <c r="CE98" s="1">
        <v>0</v>
      </c>
      <c r="CF98" s="1">
        <v>0</v>
      </c>
      <c r="CG98" s="1">
        <v>0</v>
      </c>
      <c r="CH98" s="1" t="s">
        <v>45</v>
      </c>
      <c r="CI98" s="1"/>
      <c r="CJ98" s="1"/>
      <c r="CK98" s="1"/>
      <c r="CL98" s="1">
        <v>0.5227719817162684</v>
      </c>
      <c r="CM98" s="1">
        <v>5.977989256873721</v>
      </c>
      <c r="CN98" s="1">
        <v>2.173880727917518</v>
      </c>
      <c r="CO98" s="1">
        <v>2.2159760559916535</v>
      </c>
      <c r="CP98" s="1">
        <v>4.193968499028649</v>
      </c>
      <c r="CQ98" s="1">
        <v>3.154005819920667</v>
      </c>
      <c r="CR98" s="1">
        <v>1.115022629275418</v>
      </c>
      <c r="CS98" s="1">
        <v>1.083019199914402</v>
      </c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</row>
    <row r="99" spans="1:12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>
        <v>1.532386074601293</v>
      </c>
      <c r="AJ99" s="1">
        <v>-0.5773814633484387</v>
      </c>
      <c r="AK99" s="1">
        <v>-5.268107415131199</v>
      </c>
      <c r="AL99" s="1" t="s">
        <v>45</v>
      </c>
      <c r="AM99" s="1">
        <v>22.082974552773376</v>
      </c>
      <c r="AN99" s="1">
        <v>20.197210412324367</v>
      </c>
      <c r="AO99" s="1">
        <v>7.375896411859884</v>
      </c>
      <c r="AP99" s="1">
        <v>22.281428753034863</v>
      </c>
      <c r="AQ99" s="1">
        <v>2.795328447521305</v>
      </c>
      <c r="AR99" s="1">
        <v>16.79095507668332</v>
      </c>
      <c r="AS99" s="1"/>
      <c r="AT99" s="1"/>
      <c r="AU99" s="1"/>
      <c r="AV99" s="1"/>
      <c r="AW99" s="1">
        <v>0.9970107574252611</v>
      </c>
      <c r="AX99" s="1">
        <v>0.9833838137650891</v>
      </c>
      <c r="AY99" s="1">
        <v>0.00017710434601117715</v>
      </c>
      <c r="AZ99" s="1">
        <v>0.9984491180207504</v>
      </c>
      <c r="BA99" s="1">
        <v>0.00006233605729840561</v>
      </c>
      <c r="BB99" s="1">
        <v>0.997388336638584</v>
      </c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3">
        <v>2</v>
      </c>
      <c r="CA99" s="1"/>
      <c r="CB99" s="1">
        <v>1</v>
      </c>
      <c r="CC99" s="1">
        <v>1</v>
      </c>
      <c r="CD99" s="1">
        <v>0</v>
      </c>
      <c r="CE99" s="1">
        <v>0</v>
      </c>
      <c r="CF99" s="1">
        <v>1</v>
      </c>
      <c r="CG99" s="1">
        <v>1</v>
      </c>
      <c r="CH99" s="1" t="s">
        <v>45</v>
      </c>
      <c r="CI99" s="1"/>
      <c r="CJ99" s="1"/>
      <c r="CK99" s="1"/>
      <c r="CL99" s="1">
        <v>6.978858809012731</v>
      </c>
      <c r="CM99" s="1">
        <v>5.362301205097685</v>
      </c>
      <c r="CN99" s="1">
        <v>9.47834823606792</v>
      </c>
      <c r="CO99" s="1">
        <v>6.829908269427497</v>
      </c>
      <c r="CP99" s="1">
        <v>10.792348645763932</v>
      </c>
      <c r="CQ99" s="1">
        <v>6.635898531358495</v>
      </c>
      <c r="CR99" s="1">
        <v>2.473542073506853</v>
      </c>
      <c r="CS99" s="1">
        <v>2.3397209660984775</v>
      </c>
      <c r="CT99" s="1"/>
      <c r="CU99" s="1"/>
      <c r="CV99" s="1"/>
      <c r="CW99" s="1"/>
      <c r="CX99" s="1"/>
      <c r="CY99" s="1"/>
      <c r="CZ99" s="1"/>
      <c r="DA99" s="5" t="s">
        <v>55</v>
      </c>
      <c r="DB99" s="1"/>
      <c r="DC99" s="1"/>
      <c r="DD99" s="1"/>
      <c r="DE99" s="1"/>
      <c r="DF99" s="1"/>
      <c r="DG99" s="1"/>
      <c r="DH99" s="1"/>
      <c r="DI99" s="1"/>
      <c r="DJ99" s="1" t="s">
        <v>8</v>
      </c>
      <c r="DK99" s="1">
        <v>0</v>
      </c>
      <c r="DL99" s="1">
        <v>1</v>
      </c>
      <c r="DM99" s="1">
        <v>2</v>
      </c>
      <c r="DN99" s="1">
        <v>3</v>
      </c>
      <c r="DO99" s="1">
        <v>4</v>
      </c>
      <c r="DP99" s="1">
        <v>5</v>
      </c>
      <c r="DQ99" s="1">
        <v>6</v>
      </c>
      <c r="DR99" s="1">
        <v>7</v>
      </c>
      <c r="DS99" s="1"/>
    </row>
    <row r="100" spans="1:12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>
        <v>1.8446540704245233</v>
      </c>
      <c r="AJ100" s="1">
        <v>1.143718213643988</v>
      </c>
      <c r="AK100" s="1">
        <v>-0.121865419829283</v>
      </c>
      <c r="AL100" s="1" t="s">
        <v>45</v>
      </c>
      <c r="AM100" s="1">
        <v>15.252119336215213</v>
      </c>
      <c r="AN100" s="1">
        <v>10.402940212676867</v>
      </c>
      <c r="AO100" s="1">
        <v>15.176251700785743</v>
      </c>
      <c r="AP100" s="1">
        <v>15.212333444751899</v>
      </c>
      <c r="AQ100" s="1">
        <v>11.193601472783069</v>
      </c>
      <c r="AR100" s="1">
        <v>10.49790663260031</v>
      </c>
      <c r="AS100" s="1"/>
      <c r="AT100" s="1"/>
      <c r="AU100" s="1"/>
      <c r="AV100" s="1"/>
      <c r="AW100" s="1">
        <v>0.0010767059598746256</v>
      </c>
      <c r="AX100" s="1">
        <v>0.00005484354936080362</v>
      </c>
      <c r="AY100" s="1">
        <v>0.43239481492269854</v>
      </c>
      <c r="AZ100" s="1">
        <v>0.0008496828513834103</v>
      </c>
      <c r="BA100" s="1">
        <v>0.2767342815713772</v>
      </c>
      <c r="BB100" s="1">
        <v>0.0018442851598791173</v>
      </c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>
        <v>0</v>
      </c>
      <c r="CC100" s="1">
        <v>1</v>
      </c>
      <c r="CD100" s="1">
        <v>0</v>
      </c>
      <c r="CE100" s="1">
        <v>1</v>
      </c>
      <c r="CF100" s="1">
        <v>1</v>
      </c>
      <c r="CG100" s="1">
        <v>0</v>
      </c>
      <c r="CH100" s="1" t="s">
        <v>45</v>
      </c>
      <c r="CI100" s="1"/>
      <c r="CJ100" s="1"/>
      <c r="CK100" s="1"/>
      <c r="CL100" s="1">
        <v>4.417767885171431</v>
      </c>
      <c r="CM100" s="1">
        <v>7.078401113931399</v>
      </c>
      <c r="CN100" s="1">
        <v>7.5343655387970045</v>
      </c>
      <c r="CO100" s="1">
        <v>4.650456268268908</v>
      </c>
      <c r="CP100" s="1">
        <v>8.585895175279227</v>
      </c>
      <c r="CQ100" s="1">
        <v>6.465670234994084</v>
      </c>
      <c r="CR100" s="1">
        <v>1.347532427211092</v>
      </c>
      <c r="CS100" s="1">
        <v>1.2504874486778652</v>
      </c>
      <c r="CT100" s="1"/>
      <c r="CU100" s="1"/>
      <c r="CV100" s="1"/>
      <c r="CW100" s="1" t="s">
        <v>54</v>
      </c>
      <c r="CX100" s="1"/>
      <c r="CY100" s="1"/>
      <c r="CZ100" s="1"/>
      <c r="DA100" s="1" t="s">
        <v>44</v>
      </c>
      <c r="DB100" s="1" t="s">
        <v>44</v>
      </c>
      <c r="DC100" s="1" t="s">
        <v>44</v>
      </c>
      <c r="DD100" s="1" t="s">
        <v>44</v>
      </c>
      <c r="DE100" s="1" t="s">
        <v>44</v>
      </c>
      <c r="DF100" s="1" t="s">
        <v>44</v>
      </c>
      <c r="DG100" s="1" t="s">
        <v>44</v>
      </c>
      <c r="DH100" s="1" t="s">
        <v>44</v>
      </c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</row>
    <row r="101" spans="1:12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>
        <v>-0.055128528100493845</v>
      </c>
      <c r="AJ101" s="1">
        <v>0.05305456408022824</v>
      </c>
      <c r="AK101" s="1">
        <v>-5.04977442582709</v>
      </c>
      <c r="AL101" s="1" t="s">
        <v>45</v>
      </c>
      <c r="AM101" s="1">
        <v>15.085139843433273</v>
      </c>
      <c r="AN101" s="1">
        <v>15.296862987848842</v>
      </c>
      <c r="AO101" s="1">
        <v>0.22152394215257862</v>
      </c>
      <c r="AP101" s="1">
        <v>14.588068041031784</v>
      </c>
      <c r="AQ101" s="1">
        <v>-2.9894975592733273</v>
      </c>
      <c r="AR101" s="1">
        <v>8.51380551328075</v>
      </c>
      <c r="AS101" s="1"/>
      <c r="AT101" s="1"/>
      <c r="AU101" s="1"/>
      <c r="AV101" s="1"/>
      <c r="AW101" s="1">
        <v>0.0009111268492557372</v>
      </c>
      <c r="AX101" s="1">
        <v>0.007320305564637256</v>
      </c>
      <c r="AY101" s="1">
        <v>0.0000001383963809496099</v>
      </c>
      <c r="AZ101" s="1">
        <v>0.0004551366757553994</v>
      </c>
      <c r="BA101" s="1">
        <v>0.0000001916113878653771</v>
      </c>
      <c r="BB101" s="1">
        <v>0.00025359687878520425</v>
      </c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>
        <v>1</v>
      </c>
      <c r="CC101" s="1">
        <v>1</v>
      </c>
      <c r="CD101" s="1">
        <v>1</v>
      </c>
      <c r="CE101" s="1">
        <v>0</v>
      </c>
      <c r="CF101" s="1">
        <v>-1</v>
      </c>
      <c r="CG101" s="1">
        <v>2</v>
      </c>
      <c r="CH101" s="1" t="s">
        <v>45</v>
      </c>
      <c r="CI101" s="1"/>
      <c r="CJ101" s="1"/>
      <c r="CK101" s="1"/>
      <c r="CL101" s="1">
        <v>2.64230733250373</v>
      </c>
      <c r="CM101" s="1">
        <v>10.252079107554158</v>
      </c>
      <c r="CN101" s="1">
        <v>8.028934642083215</v>
      </c>
      <c r="CO101" s="1">
        <v>10.642215078903082</v>
      </c>
      <c r="CP101" s="1">
        <v>6.982990823464293</v>
      </c>
      <c r="CQ101" s="1">
        <v>7.400712370098391</v>
      </c>
      <c r="CR101" s="1">
        <v>1.965135263205358</v>
      </c>
      <c r="CS101" s="1">
        <v>1.6585704816777107</v>
      </c>
      <c r="CT101" s="1"/>
      <c r="CU101" s="1"/>
      <c r="CV101" s="1"/>
      <c r="CW101" s="1">
        <f>TRANSPOSE(CL83:CS85)</f>
        <v>0</v>
      </c>
      <c r="CX101" s="1">
        <v>2.382895030375473</v>
      </c>
      <c r="CY101" s="1">
        <v>-1.5121008730796892</v>
      </c>
      <c r="CZ101" s="1" t="s">
        <v>45</v>
      </c>
      <c r="DA101" s="1" cm="1">
        <f t="array" ref="DA101">MMULT(CW101:CY108,_xlfn.ANCHORARRAY(DA95))/SQRT(3)+DA63:DH70</f>
        <v>0</v>
      </c>
      <c r="DB101" s="1">
        <v>15.38342340062241</v>
      </c>
      <c r="DC101" s="1">
        <v>15.350072511414647</v>
      </c>
      <c r="DD101" s="1">
        <v>16.10917802315374</v>
      </c>
      <c r="DE101" s="1">
        <v>10.219196087209122</v>
      </c>
      <c r="DF101" s="1">
        <v>12.36750942281955</v>
      </c>
      <c r="DG101" s="1">
        <v>1.6119970294805637</v>
      </c>
      <c r="DH101" s="1">
        <v>1.1795633271757344</v>
      </c>
      <c r="DI101" s="1"/>
      <c r="DJ101" s="1"/>
      <c r="DK101" s="1">
        <f>SOFTMAX(DA101:DA108)</f>
        <v>0</v>
      </c>
      <c r="DL101" s="1">
        <f>SOFTMAX(DB101:DB108)</f>
        <v>0</v>
      </c>
      <c r="DM101" s="1">
        <f>SOFTMAX(DC101:DC108)</f>
        <v>0</v>
      </c>
      <c r="DN101" s="1">
        <f>SOFTMAX(DD101:DD108)</f>
        <v>0</v>
      </c>
      <c r="DO101" s="1">
        <f>SOFTMAX(DE101:DE108)</f>
        <v>0</v>
      </c>
      <c r="DP101" s="1">
        <f>SOFTMAX(DF101:DF108)</f>
        <v>0</v>
      </c>
      <c r="DQ101" s="1">
        <f>SOFTMAX(DG101:DG108)</f>
        <v>0</v>
      </c>
      <c r="DR101" s="1">
        <f>SOFTMAX(DH101:DH108)</f>
        <v>0</v>
      </c>
      <c r="DS101" s="1"/>
    </row>
    <row r="102" spans="1:12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>
        <v>1.9792095591526777</v>
      </c>
      <c r="AJ102" s="1">
        <v>1.0204486329443456</v>
      </c>
      <c r="AK102" s="1">
        <v>0.9800593320900335</v>
      </c>
      <c r="AL102" s="1" t="s">
        <v>45</v>
      </c>
      <c r="AM102" s="1">
        <v>12.197248656262776</v>
      </c>
      <c r="AN102" s="1">
        <v>7.220261739089132</v>
      </c>
      <c r="AO102" s="1">
        <v>15.448026302707095</v>
      </c>
      <c r="AP102" s="1">
        <v>12.350029515762282</v>
      </c>
      <c r="AQ102" s="1">
        <v>12.154233873501267</v>
      </c>
      <c r="AR102" s="1">
        <v>9.212401737352389</v>
      </c>
      <c r="AS102" s="1"/>
      <c r="AT102" s="1"/>
      <c r="AU102" s="1"/>
      <c r="AV102" s="1"/>
      <c r="AW102" s="1">
        <v>0.00005074387607509371</v>
      </c>
      <c r="AX102" s="1">
        <v>0.000002274604295265655</v>
      </c>
      <c r="AY102" s="1">
        <v>0.5674279019280211</v>
      </c>
      <c r="AZ102" s="1">
        <v>0.00004854830272714451</v>
      </c>
      <c r="BA102" s="1">
        <v>0.7232031568659706</v>
      </c>
      <c r="BB102" s="1">
        <v>0.0005099650219372814</v>
      </c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>
        <v>-0.9870613692033314</v>
      </c>
      <c r="CX102" s="1">
        <v>7.76003847643616</v>
      </c>
      <c r="CY102" s="1">
        <v>6.659626619378482</v>
      </c>
      <c r="CZ102" s="1" t="s">
        <v>45</v>
      </c>
      <c r="DA102" s="1">
        <v>-98.17931716977479</v>
      </c>
      <c r="DB102" s="1">
        <v>28.098295377951334</v>
      </c>
      <c r="DC102" s="1">
        <v>11.207563223260607</v>
      </c>
      <c r="DD102" s="1">
        <v>4.1469977635909405</v>
      </c>
      <c r="DE102" s="1">
        <v>24.526078652254668</v>
      </c>
      <c r="DF102" s="1">
        <v>20.755755664398507</v>
      </c>
      <c r="DG102" s="1">
        <v>1.3182286030747374</v>
      </c>
      <c r="DH102" s="1">
        <v>0.5880800015910265</v>
      </c>
      <c r="DI102" s="1"/>
      <c r="DJ102" s="1"/>
      <c r="DK102" s="1">
        <v>0.00000000000000000000000000000000000000000000059627062165764655</v>
      </c>
      <c r="DL102" s="1">
        <v>0.9999969939239977</v>
      </c>
      <c r="DM102" s="1">
        <v>0.001351039829875266</v>
      </c>
      <c r="DN102" s="1">
        <v>0.0000021202479437099428</v>
      </c>
      <c r="DO102" s="1">
        <v>0.9998046966082231</v>
      </c>
      <c r="DP102" s="1">
        <v>0.9613448668608073</v>
      </c>
      <c r="DQ102" s="1">
        <v>0.2148849632748633</v>
      </c>
      <c r="DR102" s="1">
        <v>0.1759504484102287</v>
      </c>
      <c r="DS102" s="1"/>
    </row>
    <row r="103" spans="1:12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>
        <v>-1.008088340287686</v>
      </c>
      <c r="AJ103" s="1">
        <v>-2.9919666213704064</v>
      </c>
      <c r="AK103" s="1">
        <v>-3.007953630070319</v>
      </c>
      <c r="AL103" s="1" t="s">
        <v>45</v>
      </c>
      <c r="AM103" s="1">
        <v>-8.575431813565126</v>
      </c>
      <c r="AN103" s="1">
        <v>-2.779838832087463</v>
      </c>
      <c r="AO103" s="1">
        <v>-16.7468747658535</v>
      </c>
      <c r="AP103" s="1">
        <v>-7.7477056106439575</v>
      </c>
      <c r="AQ103" s="1">
        <v>-13.403992009760351</v>
      </c>
      <c r="AR103" s="1">
        <v>-1.7966388124753008</v>
      </c>
      <c r="AS103" s="1"/>
      <c r="AT103" s="1"/>
      <c r="AU103" s="1"/>
      <c r="AV103" s="1"/>
      <c r="AW103" s="1">
        <v>0.00000000000004829733143254069</v>
      </c>
      <c r="AX103" s="1">
        <v>0.00000000010325649009359272</v>
      </c>
      <c r="AY103" s="1">
        <v>0.0000000000000059134755825159165</v>
      </c>
      <c r="AZ103" s="1">
        <v>0.0000000000000907483186218406</v>
      </c>
      <c r="BA103" s="1">
        <v>0.0000000000057472997044571914</v>
      </c>
      <c r="BB103" s="1">
        <v>0.000000008440629305439434</v>
      </c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>
        <v>-0.9980590764711996</v>
      </c>
      <c r="CX103" s="1">
        <v>5.544707857702213</v>
      </c>
      <c r="CY103" s="1">
        <v>0.18422304682272683</v>
      </c>
      <c r="CZ103" s="1" t="s">
        <v>45</v>
      </c>
      <c r="DA103" s="1">
        <v>-93.38980923651388</v>
      </c>
      <c r="DB103" s="1">
        <v>-76.13474785785894</v>
      </c>
      <c r="DC103" s="1">
        <v>17.724066929727755</v>
      </c>
      <c r="DD103" s="1">
        <v>16.80709566190095</v>
      </c>
      <c r="DE103" s="1">
        <v>14.16102854594769</v>
      </c>
      <c r="DF103" s="1">
        <v>16.428199943109572</v>
      </c>
      <c r="DG103" s="1">
        <v>0.9791154577710128</v>
      </c>
      <c r="DH103" s="1">
        <v>0.3056020965740688</v>
      </c>
      <c r="DI103" s="1"/>
      <c r="DJ103" s="1"/>
      <c r="DK103" s="1">
        <v>0.00000000000000000000000000000000000000000007169688354599615</v>
      </c>
      <c r="DL103" s="1">
        <v>0.00000000000000000000000000000000000000000000053971338051555815</v>
      </c>
      <c r="DM103" s="1">
        <v>0.9135866687381177</v>
      </c>
      <c r="DN103" s="1">
        <v>0.6677244949499982</v>
      </c>
      <c r="DO103" s="1">
        <v>0.00003150874508952137</v>
      </c>
      <c r="DP103" s="1">
        <v>0.012689533068334813</v>
      </c>
      <c r="DQ103" s="1">
        <v>0.1530844431407812</v>
      </c>
      <c r="DR103" s="1">
        <v>0.1326513831053892</v>
      </c>
      <c r="DS103" s="1"/>
    </row>
    <row r="104" spans="1:12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>
        <v>-2.1780520707516295</v>
      </c>
      <c r="CX104" s="1">
        <v>4.176675547761658</v>
      </c>
      <c r="CY104" s="1">
        <v>1.7421953354844038</v>
      </c>
      <c r="CZ104" s="1" t="s">
        <v>45</v>
      </c>
      <c r="DA104" s="1">
        <v>-100.19904976627124</v>
      </c>
      <c r="DB104" s="1">
        <v>-92.11457879583295</v>
      </c>
      <c r="DC104" s="1">
        <v>-97.93844040638174</v>
      </c>
      <c r="DD104" s="1">
        <v>-0.49892961482675025</v>
      </c>
      <c r="DE104" s="1">
        <v>1.0227713389287745</v>
      </c>
      <c r="DF104" s="1">
        <v>2.1178526404032585</v>
      </c>
      <c r="DG104" s="1">
        <v>-1.6801450853356823</v>
      </c>
      <c r="DH104" s="1">
        <v>-1.9502405955453666</v>
      </c>
      <c r="DI104" s="1"/>
      <c r="DJ104" s="1"/>
      <c r="DK104" s="1">
        <v>0.00000000000000000000000000000000000000000000007911971068898539</v>
      </c>
      <c r="DL104" s="1">
        <v>0.00000000000000000000000000000000000000000000000000006197417969766047</v>
      </c>
      <c r="DM104" s="1">
        <v>0.00000000000000000000000000000000000000000000000000535995390047611</v>
      </c>
      <c r="DN104" s="1">
        <v>0.000000020355699308748383</v>
      </c>
      <c r="DO104" s="1">
        <v>0.00000000006202381846966472</v>
      </c>
      <c r="DP104" s="1">
        <v>0.000000007736433095920964</v>
      </c>
      <c r="DQ104" s="1">
        <v>0.010715905595741402</v>
      </c>
      <c r="DR104" s="1">
        <v>0.013899902352852803</v>
      </c>
      <c r="DS104" s="1"/>
    </row>
    <row r="105" spans="1:12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>
        <v>-0.39803895343070206</v>
      </c>
      <c r="CX105" s="1">
        <v>4.8433269796994125</v>
      </c>
      <c r="CY105" s="1">
        <v>0.4514003034488354</v>
      </c>
      <c r="CZ105" s="1" t="s">
        <v>45</v>
      </c>
      <c r="DA105" s="1">
        <v>-93.32764494849067</v>
      </c>
      <c r="DB105" s="1">
        <v>-76.41724362940619</v>
      </c>
      <c r="DC105" s="1">
        <v>-81.4900984715173</v>
      </c>
      <c r="DD105" s="1">
        <v>-82.72507177274484</v>
      </c>
      <c r="DE105" s="1">
        <v>15.805635182880355</v>
      </c>
      <c r="DF105" s="1">
        <v>17.13563242226172</v>
      </c>
      <c r="DG105" s="1">
        <v>1.5688101699117234</v>
      </c>
      <c r="DH105" s="1">
        <v>0.9353440989378449</v>
      </c>
      <c r="DI105" s="1"/>
      <c r="DJ105" s="1"/>
      <c r="DK105" s="1">
        <v>0.00000000000000000000000000000000000000000007629531770464675</v>
      </c>
      <c r="DL105" s="1">
        <v>0.0000000000000000000000000000000000000000000004068898257019587</v>
      </c>
      <c r="DM105" s="1">
        <v>0.000000000000000000000000000000000000000000074573614475566755</v>
      </c>
      <c r="DN105" s="1">
        <v>0.000000000000000000000000000000000000000000039657580963127646</v>
      </c>
      <c r="DO105" s="1">
        <v>0.00016318291770461084</v>
      </c>
      <c r="DP105" s="1">
        <v>0.02574421559933328</v>
      </c>
      <c r="DQ105" s="1">
        <v>0.27607826579419065</v>
      </c>
      <c r="DR105" s="1">
        <v>0.2490033896988804</v>
      </c>
      <c r="DS105" s="1"/>
    </row>
    <row r="106" spans="1:12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>
        <v>-1.58144302724416</v>
      </c>
      <c r="CX106" s="1">
        <v>4.588087673103711</v>
      </c>
      <c r="CY106" s="1">
        <v>1.2764232580302943</v>
      </c>
      <c r="CZ106" s="1" t="s">
        <v>45</v>
      </c>
      <c r="DA106" s="1">
        <v>-97.57538450247016</v>
      </c>
      <c r="DB106" s="1">
        <v>-85.83153356281551</v>
      </c>
      <c r="DC106" s="1">
        <v>-91.52967669030372</v>
      </c>
      <c r="DD106" s="1">
        <v>-92.9903364472696</v>
      </c>
      <c r="DE106" s="1">
        <v>-92.31395395417839</v>
      </c>
      <c r="DF106" s="1">
        <v>7.952650830162579</v>
      </c>
      <c r="DG106" s="1">
        <v>-0.5004951160420125</v>
      </c>
      <c r="DH106" s="1">
        <v>-0.9208976039926497</v>
      </c>
      <c r="DI106" s="1"/>
      <c r="DJ106" s="1"/>
      <c r="DK106" s="1">
        <v>0.000000000000000000000000000000000000000000001090757070804058</v>
      </c>
      <c r="DL106" s="1">
        <v>0.000000000000000000000000000000000000000000000000033182007818602676</v>
      </c>
      <c r="DM106" s="1">
        <v>0.0000000000000000000000000000000000000000000000032542564340482754</v>
      </c>
      <c r="DN106" s="1">
        <v>0.0000000000000000000000000000000000000000000000013809514682146338</v>
      </c>
      <c r="DO106" s="1">
        <v>0.0000000000000000000000000000000000000000000000000018068984534056724</v>
      </c>
      <c r="DP106" s="1">
        <v>0.0000026458269206038845</v>
      </c>
      <c r="DQ106" s="1">
        <v>0.03486136204831818</v>
      </c>
      <c r="DR106" s="1">
        <v>0.0389089696649201</v>
      </c>
      <c r="DS106" s="1"/>
    </row>
    <row r="107" spans="1:12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3" t="s">
        <v>58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 t="s">
        <v>44</v>
      </c>
      <c r="AX107" s="1" t="s">
        <v>44</v>
      </c>
      <c r="AY107" s="1" t="s">
        <v>44</v>
      </c>
      <c r="AZ107" s="1" t="s">
        <v>44</v>
      </c>
      <c r="BA107" s="1" t="s">
        <v>44</v>
      </c>
      <c r="BB107" s="1" t="s">
        <v>44</v>
      </c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>
        <v>-0.715018750044309</v>
      </c>
      <c r="CX107" s="1">
        <v>0.4049934025785773</v>
      </c>
      <c r="CY107" s="1">
        <v>0.17248360464290324</v>
      </c>
      <c r="CZ107" s="1" t="s">
        <v>45</v>
      </c>
      <c r="DA107" s="1">
        <v>-100.32815214771362</v>
      </c>
      <c r="DB107" s="1">
        <v>-101.42068639435539</v>
      </c>
      <c r="DC107" s="1">
        <v>-101.83344495702401</v>
      </c>
      <c r="DD107" s="1">
        <v>-101.7976567506888</v>
      </c>
      <c r="DE107" s="1">
        <v>-102.466527983882</v>
      </c>
      <c r="DF107" s="1">
        <v>-101.99285367286508</v>
      </c>
      <c r="DG107" s="1">
        <v>-0.9557249732147164</v>
      </c>
      <c r="DH107" s="1">
        <v>-0.9211247657515009</v>
      </c>
      <c r="DI107" s="1"/>
      <c r="DJ107" s="1"/>
      <c r="DK107" s="1">
        <v>0.00000000000000000000000000000000000000000000006953704618957436</v>
      </c>
      <c r="DL107" s="1">
        <v>0.000000000000000000000000000000000000000000000000000000005631441915700628</v>
      </c>
      <c r="DM107" s="1">
        <v>0.0000000000000000000000000000000000000000000000000001090390530287718</v>
      </c>
      <c r="DN107" s="1">
        <v>0.00000000000000000000000000000000000000000000000000020663686675637355</v>
      </c>
      <c r="DO107" s="1">
        <v>0.000000000000000000000000000000000000000000000000000000070425001992712665</v>
      </c>
      <c r="DP107" s="1">
        <v>0.000000000000000000000000000000000000000000000000000004718842858884279</v>
      </c>
      <c r="DQ107" s="1">
        <v>0.02211263697904809</v>
      </c>
      <c r="DR107" s="1">
        <v>0.038900132038759284</v>
      </c>
      <c r="DS107" s="1"/>
    </row>
    <row r="108" spans="1:12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>
        <f>Z96:AE98</f>
        <v>0</v>
      </c>
      <c r="AN108" s="1">
        <v>0.9154141825103603</v>
      </c>
      <c r="AO108" s="1">
        <v>7.060633265914551</v>
      </c>
      <c r="AP108" s="1">
        <v>3.039817491898116</v>
      </c>
      <c r="AQ108" s="1">
        <v>6.018348960420622</v>
      </c>
      <c r="AR108" s="1">
        <v>5.00770055928551</v>
      </c>
      <c r="AS108" s="1"/>
      <c r="AT108" s="1"/>
      <c r="AU108" s="1"/>
      <c r="AV108" s="1" t="s">
        <v>45</v>
      </c>
      <c r="AW108" s="6" cm="1">
        <f t="array" ref="AW108">MMULT(_xlfn.ANCHORARRAY(AM108),AW98:BB103)</f>
        <v>0</v>
      </c>
      <c r="AX108" s="6">
        <v>0.9390527125683505</v>
      </c>
      <c r="AY108" s="6">
        <v>6.468122953299058</v>
      </c>
      <c r="AZ108" s="6">
        <v>0.9220157451941791</v>
      </c>
      <c r="BA108" s="6">
        <v>6.306465946789782</v>
      </c>
      <c r="BB108" s="6">
        <v>0.9298920032637641</v>
      </c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>
        <v>-0.8073116569769657</v>
      </c>
      <c r="CX108" s="1">
        <v>0.27729722439934457</v>
      </c>
      <c r="CY108" s="1">
        <v>0.10982897563588145</v>
      </c>
      <c r="CZ108" s="1" t="s">
        <v>45</v>
      </c>
      <c r="DA108" s="1">
        <v>-100.66051494357332</v>
      </c>
      <c r="DB108" s="1">
        <v>-102.59460076690847</v>
      </c>
      <c r="DC108" s="1">
        <v>-102.76567665842957</v>
      </c>
      <c r="DD108" s="1">
        <v>-102.61394493647143</v>
      </c>
      <c r="DE108" s="1">
        <v>-103.62523078023206</v>
      </c>
      <c r="DF108" s="1">
        <v>-103.0582443932862</v>
      </c>
      <c r="DG108" s="1">
        <v>-100.15323089963272</v>
      </c>
      <c r="DH108" s="1">
        <v>-1.0916320508949322</v>
      </c>
      <c r="DI108" s="1"/>
      <c r="DJ108" s="1"/>
      <c r="DK108" s="1">
        <v>0.00000000000000000000000000000000000000000000004987385180020735</v>
      </c>
      <c r="DL108" s="1">
        <v>0.0000000000000000000000000000000000000000000000000000000017409851822975451</v>
      </c>
      <c r="DM108" s="1">
        <v>0.00000000000000000000000000000000000000000000000000004292585827416931</v>
      </c>
      <c r="DN108" s="1">
        <v>0.00000000000000000000000000000000000000000000000000009134785487627016</v>
      </c>
      <c r="DO108" s="1">
        <v>0.000000000000000000000000000000000000000000000000000000022105922205124923</v>
      </c>
      <c r="DP108" s="1">
        <v>0.0000000000000000000000000000000000000000000000000000016260811084943783</v>
      </c>
      <c r="DQ108" s="1">
        <v>0.000000000000000000000000000000000000000000001835317027184046</v>
      </c>
      <c r="DR108" s="1">
        <v>0.03280202855897105</v>
      </c>
      <c r="DS108" s="1"/>
    </row>
    <row r="109" spans="1:12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>
        <v>-1.5145078130786183</v>
      </c>
      <c r="AN109" s="1">
        <v>-6.097234373679003</v>
      </c>
      <c r="AO109" s="1">
        <v>-1.6989459812123044</v>
      </c>
      <c r="AP109" s="1">
        <v>-3.891501445734488</v>
      </c>
      <c r="AQ109" s="1">
        <v>-1.9587109266249974</v>
      </c>
      <c r="AR109" s="1">
        <v>-4.983870356627225</v>
      </c>
      <c r="AS109" s="1"/>
      <c r="AT109" s="1"/>
      <c r="AU109" s="1"/>
      <c r="AV109" s="1" t="s">
        <v>45</v>
      </c>
      <c r="AW109" s="6">
        <v>-6.085922361317662</v>
      </c>
      <c r="AX109" s="6">
        <v>-6.038498381388955</v>
      </c>
      <c r="AY109" s="6">
        <v>-1.847123111160781</v>
      </c>
      <c r="AZ109" s="6">
        <v>-6.091387241876745</v>
      </c>
      <c r="BA109" s="6">
        <v>-1.8870833956223225</v>
      </c>
      <c r="BB109" s="6">
        <v>-6.08643534670198</v>
      </c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</row>
    <row r="110" spans="1:12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>
        <v>-5.367410486699903</v>
      </c>
      <c r="AN110" s="1">
        <v>-2.481416334443389</v>
      </c>
      <c r="AO110" s="1">
        <v>-4.231850716295032</v>
      </c>
      <c r="AP110" s="1">
        <v>-5.097468522606583</v>
      </c>
      <c r="AQ110" s="1">
        <v>-3.039539367935622</v>
      </c>
      <c r="AR110" s="1">
        <v>-5.015852294463603</v>
      </c>
      <c r="AS110" s="1"/>
      <c r="AT110" s="1"/>
      <c r="AU110" s="1"/>
      <c r="AV110" s="1" t="s">
        <v>45</v>
      </c>
      <c r="AW110" s="6">
        <v>-2.4884565304863595</v>
      </c>
      <c r="AX110" s="6">
        <v>-2.527326919937998</v>
      </c>
      <c r="AY110" s="6">
        <v>-3.554990145596854</v>
      </c>
      <c r="AZ110" s="6">
        <v>-2.484691430422708</v>
      </c>
      <c r="BA110" s="6">
        <v>-3.369458474365294</v>
      </c>
      <c r="BB110" s="6">
        <v>-2.4856036913463178</v>
      </c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3" t="s">
        <v>58</v>
      </c>
      <c r="DB110" s="1"/>
      <c r="DC110" s="1"/>
      <c r="DD110" s="1"/>
      <c r="DE110" s="1"/>
      <c r="DF110" s="1"/>
      <c r="DG110" s="1"/>
      <c r="DH110" s="1"/>
      <c r="DI110" s="1"/>
      <c r="DJ110" s="1"/>
      <c r="DK110" s="1" t="s">
        <v>44</v>
      </c>
      <c r="DL110" s="1" t="s">
        <v>44</v>
      </c>
      <c r="DM110" s="1" t="s">
        <v>44</v>
      </c>
      <c r="DN110" s="1" t="s">
        <v>44</v>
      </c>
      <c r="DO110" s="1" t="s">
        <v>44</v>
      </c>
      <c r="DP110" s="1" t="s">
        <v>44</v>
      </c>
      <c r="DQ110" s="1" t="s">
        <v>44</v>
      </c>
      <c r="DR110" s="1" t="s">
        <v>44</v>
      </c>
      <c r="DS110" s="1"/>
    </row>
    <row r="111" spans="1:12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>
        <f>CL96:CS98</f>
        <v>0</v>
      </c>
      <c r="DB111" s="1">
        <v>6.432917863067728</v>
      </c>
      <c r="DC111" s="1">
        <v>0.17061360516498714</v>
      </c>
      <c r="DD111" s="1">
        <v>2.2006633999457055</v>
      </c>
      <c r="DE111" s="1">
        <v>2.975893030106728</v>
      </c>
      <c r="DF111" s="1">
        <v>4.723644128037677</v>
      </c>
      <c r="DG111" s="1">
        <v>0.5148283038684898</v>
      </c>
      <c r="DH111" s="1">
        <v>0.3590054888743712</v>
      </c>
      <c r="DI111" s="1"/>
      <c r="DJ111" s="1" t="s">
        <v>45</v>
      </c>
      <c r="DK111" s="6" cm="1">
        <f t="array" ref="DK111">MMULT(_xlfn.ANCHORARRAY(DA111),DK101:DR108)</f>
        <v>0</v>
      </c>
      <c r="DL111" s="6">
        <v>6.432889311113713</v>
      </c>
      <c r="DM111" s="6">
        <v>-0.09616837509567758</v>
      </c>
      <c r="DN111" s="6">
        <v>-0.9045355728128025</v>
      </c>
      <c r="DO111" s="6">
        <v>6.4321506083954185</v>
      </c>
      <c r="DP111" s="6">
        <v>6.262371674355515</v>
      </c>
      <c r="DQ111" s="6">
        <v>1.546102559272063</v>
      </c>
      <c r="DR111" s="6">
        <v>1.1673328852194036</v>
      </c>
      <c r="DS111" s="1"/>
    </row>
    <row r="112" spans="1:12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>
        <v>-2.561090923841301</v>
      </c>
      <c r="DB112" s="1">
        <v>1.7160999088337145</v>
      </c>
      <c r="DC112" s="1">
        <v>-1.9439826972709153</v>
      </c>
      <c r="DD112" s="1">
        <v>-2.17945200115859</v>
      </c>
      <c r="DE112" s="1">
        <v>-2.2064534704847047</v>
      </c>
      <c r="DF112" s="1">
        <v>-0.17022829636441061</v>
      </c>
      <c r="DG112" s="1">
        <v>-1.1260096462957612</v>
      </c>
      <c r="DH112" s="1">
        <v>-1.0892335174206125</v>
      </c>
      <c r="DI112" s="1"/>
      <c r="DJ112" s="1" t="s">
        <v>45</v>
      </c>
      <c r="DK112" s="6">
        <v>-2.561090923841301</v>
      </c>
      <c r="DL112" s="6">
        <v>1.716087051272995</v>
      </c>
      <c r="DM112" s="6">
        <v>-1.9915304197030534</v>
      </c>
      <c r="DN112" s="6">
        <v>-2.149023568451506</v>
      </c>
      <c r="DO112" s="6">
        <v>1.715341874060657</v>
      </c>
      <c r="DP112" s="6">
        <v>1.5677315348027716</v>
      </c>
      <c r="DQ112" s="6">
        <v>-1.330437800854682</v>
      </c>
      <c r="DR112" s="6">
        <v>-1.4359155860479214</v>
      </c>
      <c r="DS112" s="1"/>
    </row>
    <row r="113" spans="1:12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>
        <v>0.5227719817162684</v>
      </c>
      <c r="DB113" s="1">
        <v>5.977989256873721</v>
      </c>
      <c r="DC113" s="1">
        <v>2.173880727917518</v>
      </c>
      <c r="DD113" s="1">
        <v>2.2159760559916535</v>
      </c>
      <c r="DE113" s="1">
        <v>4.193968499028649</v>
      </c>
      <c r="DF113" s="1">
        <v>3.154005819920667</v>
      </c>
      <c r="DG113" s="1">
        <v>1.115022629275418</v>
      </c>
      <c r="DH113" s="1">
        <v>1.083019199914402</v>
      </c>
      <c r="DI113" s="1"/>
      <c r="DJ113" s="1" t="s">
        <v>45</v>
      </c>
      <c r="DK113" s="6">
        <v>0.5227719817162684</v>
      </c>
      <c r="DL113" s="6">
        <v>5.977972858075983</v>
      </c>
      <c r="DM113" s="6">
        <v>2.0385731367019995</v>
      </c>
      <c r="DN113" s="6">
        <v>1.6252693362605855</v>
      </c>
      <c r="DO113" s="6">
        <v>5.977574935465783</v>
      </c>
      <c r="DP113" s="6">
        <v>5.882587955371519</v>
      </c>
      <c r="DQ113" s="6">
        <v>3.0842816104630146</v>
      </c>
      <c r="DR113" s="6">
        <v>2.783111985887354</v>
      </c>
      <c r="DS113" s="1"/>
    </row>
    <row r="114" spans="1:12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6" cm="1">
        <f t="array" ref="AW114">_xlfn.ANCHORARRAY(AW83)</f>
        <v>0</v>
      </c>
      <c r="AX114" s="6">
        <v>4.2386800815832935</v>
      </c>
      <c r="AY114" s="6">
        <v>5.08932910309705</v>
      </c>
      <c r="AZ114" s="6">
        <v>4.934714528055147</v>
      </c>
      <c r="BA114" s="6">
        <v>5.06729901992424</v>
      </c>
      <c r="BB114" s="6">
        <v>5.047604917540727</v>
      </c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</row>
    <row r="115" spans="1:12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6">
        <v>6.650116050833357</v>
      </c>
      <c r="AX115" s="6">
        <v>3.8599787447896623</v>
      </c>
      <c r="AY115" s="6">
        <v>5.370952084227753</v>
      </c>
      <c r="AZ115" s="6">
        <v>5.119653780109138</v>
      </c>
      <c r="BA115" s="6">
        <v>5.343922281662671</v>
      </c>
      <c r="BB115" s="6">
        <v>5.3038614856412085</v>
      </c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3" t="s">
        <v>50</v>
      </c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</row>
    <row r="116" spans="1:12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6">
        <v>-1.783046313153943</v>
      </c>
      <c r="AX116" s="6">
        <v>-6.2244433052342245</v>
      </c>
      <c r="AY116" s="6">
        <v>-5.810357108465599</v>
      </c>
      <c r="AZ116" s="6">
        <v>-5.859290982050054</v>
      </c>
      <c r="BA116" s="6">
        <v>-5.8138419237330465</v>
      </c>
      <c r="BB116" s="6">
        <v>-5.8340258464048</v>
      </c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>
        <v>2</v>
      </c>
      <c r="CW116" s="1"/>
      <c r="CX116" s="1"/>
      <c r="CY116" s="1"/>
      <c r="CZ116" s="1"/>
      <c r="DA116" s="1" t="s">
        <v>52</v>
      </c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</row>
    <row r="117" spans="1:12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6" cm="1">
        <f t="array" ref="AW117">_xlfn.ANCHORARRAY(AW108)</f>
        <v>0</v>
      </c>
      <c r="AX117" s="6">
        <v>0.9390527125683505</v>
      </c>
      <c r="AY117" s="6">
        <v>6.468122953299058</v>
      </c>
      <c r="AZ117" s="6">
        <v>0.9220157451941791</v>
      </c>
      <c r="BA117" s="6">
        <v>6.306465946789782</v>
      </c>
      <c r="BB117" s="6">
        <v>0.9298920032637641</v>
      </c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>
        <f>CL73:CS75</f>
        <v>0</v>
      </c>
      <c r="DB117" s="1">
        <v>1.5616880942143556</v>
      </c>
      <c r="DC117" s="1">
        <v>7.887221118852627</v>
      </c>
      <c r="DD117" s="1">
        <v>6.412231434801685</v>
      </c>
      <c r="DE117" s="1">
        <v>8.502987031897426</v>
      </c>
      <c r="DF117" s="1">
        <v>5.437229200563434</v>
      </c>
      <c r="DG117" s="1">
        <v>2.3377049054764605</v>
      </c>
      <c r="DH117" s="1">
        <v>2.2470224653197506</v>
      </c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</row>
    <row r="118" spans="1:12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6">
        <v>-6.085922361317662</v>
      </c>
      <c r="AX118" s="6">
        <v>-6.038498381388955</v>
      </c>
      <c r="AY118" s="6">
        <v>-1.847123111160781</v>
      </c>
      <c r="AZ118" s="6">
        <v>-6.091387241876745</v>
      </c>
      <c r="BA118" s="6">
        <v>-1.8870833956223225</v>
      </c>
      <c r="BB118" s="6">
        <v>-6.08643534670198</v>
      </c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>
        <v>-0.7494102489448704</v>
      </c>
      <c r="DB118" s="1">
        <v>6.037590936639774</v>
      </c>
      <c r="DC118" s="1">
        <v>2.9586871242474575</v>
      </c>
      <c r="DD118" s="1">
        <v>2.3630636703498684</v>
      </c>
      <c r="DE118" s="1">
        <v>1.7206446256153463</v>
      </c>
      <c r="DF118" s="1">
        <v>4.202389492095115</v>
      </c>
      <c r="DG118" s="1">
        <v>-1.1743863840733764</v>
      </c>
      <c r="DH118" s="1">
        <v>-1.4370371857763615</v>
      </c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</row>
    <row r="119" spans="1:12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6">
        <v>-2.4884565304863595</v>
      </c>
      <c r="AX119" s="6">
        <v>-2.527326919937998</v>
      </c>
      <c r="AY119" s="6">
        <v>-3.554990145596854</v>
      </c>
      <c r="AZ119" s="6">
        <v>-2.484691430422708</v>
      </c>
      <c r="BA119" s="6">
        <v>-3.369458474365294</v>
      </c>
      <c r="BB119" s="6">
        <v>-2.4856036913463178</v>
      </c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>
        <v>-0.7600386453155403</v>
      </c>
      <c r="DB119" s="1">
        <v>-4.787674480086661</v>
      </c>
      <c r="DC119" s="1">
        <v>-2.5891861936864924</v>
      </c>
      <c r="DD119" s="1">
        <v>-2.5957289053774417</v>
      </c>
      <c r="DE119" s="1">
        <v>-2.687400567297207</v>
      </c>
      <c r="DF119" s="1">
        <v>-2.7801123580392213</v>
      </c>
      <c r="DG119" s="1">
        <v>-0.8508559180747015</v>
      </c>
      <c r="DH119" s="1">
        <v>-0.900010157755693</v>
      </c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</row>
    <row r="120" spans="1:12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5" t="s">
        <v>60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 t="s">
        <v>44</v>
      </c>
      <c r="AX120" s="1" t="s">
        <v>44</v>
      </c>
      <c r="AY120" s="1" t="s">
        <v>44</v>
      </c>
      <c r="AZ120" s="1" t="s">
        <v>44</v>
      </c>
      <c r="BA120" s="1" t="s">
        <v>44</v>
      </c>
      <c r="BB120" s="1" t="s">
        <v>44</v>
      </c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</row>
    <row r="121" spans="1:12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>
        <v>0</v>
      </c>
      <c r="P121" s="1">
        <v>0</v>
      </c>
      <c r="Q121" s="1">
        <v>1</v>
      </c>
      <c r="R121" s="1">
        <v>1</v>
      </c>
      <c r="S121" s="1">
        <v>0</v>
      </c>
      <c r="T121" s="1">
        <v>-1</v>
      </c>
      <c r="U121" s="1" t="s">
        <v>45</v>
      </c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>
        <f>MMULT(O121:T125,AW114:BB119)</f>
        <v>0</v>
      </c>
      <c r="AX121" s="1">
        <v>-2.758063672727876</v>
      </c>
      <c r="AY121" s="1">
        <v>4.2127559904303125</v>
      </c>
      <c r="AZ121" s="1">
        <v>-2.452583806433167</v>
      </c>
      <c r="BA121" s="1">
        <v>3.8620824974220294</v>
      </c>
      <c r="BB121" s="1">
        <v>-2.418530151794718</v>
      </c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5" t="s">
        <v>55</v>
      </c>
      <c r="DB121" s="1"/>
      <c r="DC121" s="1"/>
      <c r="DD121" s="1"/>
      <c r="DE121" s="1"/>
      <c r="DF121" s="1"/>
      <c r="DG121" s="1"/>
      <c r="DH121" s="1"/>
      <c r="DI121" s="1"/>
      <c r="DJ121" s="1" t="s">
        <v>8</v>
      </c>
      <c r="DK121" s="1">
        <v>0</v>
      </c>
      <c r="DL121" s="1">
        <v>1</v>
      </c>
      <c r="DM121" s="1">
        <v>2</v>
      </c>
      <c r="DN121" s="1">
        <v>3</v>
      </c>
      <c r="DO121" s="1">
        <v>4</v>
      </c>
      <c r="DP121" s="1">
        <v>5</v>
      </c>
      <c r="DQ121" s="1">
        <v>6</v>
      </c>
      <c r="DR121" s="1">
        <v>7</v>
      </c>
      <c r="DS121" s="1"/>
    </row>
    <row r="122" spans="1:12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>
        <v>1</v>
      </c>
      <c r="P122" s="1">
        <v>1</v>
      </c>
      <c r="Q122" s="1">
        <v>1</v>
      </c>
      <c r="R122" s="1">
        <v>1</v>
      </c>
      <c r="S122" s="1">
        <v>1</v>
      </c>
      <c r="T122" s="1">
        <v>-1</v>
      </c>
      <c r="U122" s="1" t="s">
        <v>45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>
        <v>9.01407747281921</v>
      </c>
      <c r="AX122" s="1">
        <v>-0.6979032277438746</v>
      </c>
      <c r="AY122" s="1">
        <v>12.825914066594335</v>
      </c>
      <c r="AZ122" s="1">
        <v>1.510397259854373</v>
      </c>
      <c r="BA122" s="1">
        <v>12.386220403386618</v>
      </c>
      <c r="BB122" s="1">
        <v>1.8465009046852363</v>
      </c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 t="s">
        <v>54</v>
      </c>
      <c r="CX122" s="1"/>
      <c r="CY122" s="1"/>
      <c r="CZ122" s="1"/>
      <c r="DA122" s="1" t="s">
        <v>44</v>
      </c>
      <c r="DB122" s="1" t="s">
        <v>44</v>
      </c>
      <c r="DC122" s="1" t="s">
        <v>44</v>
      </c>
      <c r="DD122" s="1" t="s">
        <v>44</v>
      </c>
      <c r="DE122" s="1" t="s">
        <v>44</v>
      </c>
      <c r="DF122" s="1" t="s">
        <v>44</v>
      </c>
      <c r="DG122" s="1" t="s">
        <v>44</v>
      </c>
      <c r="DH122" s="1" t="s">
        <v>44</v>
      </c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</row>
    <row r="123" spans="1: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>
        <v>-1</v>
      </c>
      <c r="P123" s="1">
        <v>-1</v>
      </c>
      <c r="Q123" s="1">
        <v>-1</v>
      </c>
      <c r="R123" s="1">
        <v>-1</v>
      </c>
      <c r="S123" s="1">
        <v>-1</v>
      </c>
      <c r="T123" s="1">
        <v>1</v>
      </c>
      <c r="U123" s="1" t="s">
        <v>45</v>
      </c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>
        <v>-9.01407747281921</v>
      </c>
      <c r="AX123" s="1">
        <v>0.6979032277438746</v>
      </c>
      <c r="AY123" s="1">
        <v>-12.825914066594335</v>
      </c>
      <c r="AZ123" s="1">
        <v>-1.510397259854373</v>
      </c>
      <c r="BA123" s="1">
        <v>-12.386220403386618</v>
      </c>
      <c r="BB123" s="1">
        <v>-1.8465009046852363</v>
      </c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>
        <f>TRANSPOSE(CL86:CS88)</f>
        <v>0</v>
      </c>
      <c r="CX123" s="1">
        <v>2.5717193202119706</v>
      </c>
      <c r="CY123" s="1">
        <v>-1.6712987588227066</v>
      </c>
      <c r="CZ123" s="1" t="s">
        <v>45</v>
      </c>
      <c r="DA123" s="1" cm="1">
        <f t="array" ref="DA123">MMULT(CW123:CY130,_xlfn.ANCHORARRAY(DA117))/SQRT(3)+DA63:DH70</f>
        <v>0</v>
      </c>
      <c r="DB123" s="1">
        <v>16.408472207324877</v>
      </c>
      <c r="DC123" s="1">
        <v>21.15492265087645</v>
      </c>
      <c r="DD123" s="1">
        <v>17.60943803489875</v>
      </c>
      <c r="DE123" s="1">
        <v>20.525041918025927</v>
      </c>
      <c r="DF123" s="1">
        <v>18.755123215265822</v>
      </c>
      <c r="DG123" s="1">
        <v>3.30489595247579</v>
      </c>
      <c r="DH123" s="1">
        <v>2.7983531861495554</v>
      </c>
      <c r="DI123" s="1"/>
      <c r="DJ123" s="1"/>
      <c r="DK123" s="1">
        <f>SOFTMAX(DA123:DA130)</f>
        <v>0</v>
      </c>
      <c r="DL123" s="1">
        <f>SOFTMAX(DB123:DB130)</f>
        <v>0</v>
      </c>
      <c r="DM123" s="1">
        <f>SOFTMAX(DC123:DC130)</f>
        <v>0</v>
      </c>
      <c r="DN123" s="1">
        <f>SOFTMAX(DD123:DD130)</f>
        <v>0</v>
      </c>
      <c r="DO123" s="1">
        <f>SOFTMAX(DE123:DE130)</f>
        <v>0</v>
      </c>
      <c r="DP123" s="1">
        <f>SOFTMAX(DF123:DF130)</f>
        <v>0</v>
      </c>
      <c r="DQ123" s="1">
        <f>SOFTMAX(DG123:DG130)</f>
        <v>0</v>
      </c>
      <c r="DR123" s="1">
        <f>SOFTMAX(DH123:DH130)</f>
        <v>0</v>
      </c>
      <c r="DS123" s="1"/>
    </row>
    <row r="124" spans="1:12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>
        <v>-1</v>
      </c>
      <c r="P124" s="1">
        <v>0</v>
      </c>
      <c r="Q124" s="1">
        <v>-1</v>
      </c>
      <c r="R124" s="1">
        <v>1</v>
      </c>
      <c r="S124" s="1">
        <v>0</v>
      </c>
      <c r="T124" s="1">
        <v>1</v>
      </c>
      <c r="U124" s="1" t="s">
        <v>45</v>
      </c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>
        <v>-6.599840540652798</v>
      </c>
      <c r="AX124" s="1">
        <v>0.3974890162812832</v>
      </c>
      <c r="AY124" s="1">
        <v>3.6341608130707526</v>
      </c>
      <c r="AZ124" s="1">
        <v>-0.6380992312336213</v>
      </c>
      <c r="BA124" s="1">
        <v>3.683550376233294</v>
      </c>
      <c r="BB124" s="1">
        <v>-0.7692907592184803</v>
      </c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>
        <v>1.722447539796385</v>
      </c>
      <c r="CX124" s="1">
        <v>9.10916550789272</v>
      </c>
      <c r="CY124" s="1">
        <v>-0.4329221881058769</v>
      </c>
      <c r="CZ124" s="1" t="s">
        <v>45</v>
      </c>
      <c r="DA124" s="1">
        <v>-96.78412527638936</v>
      </c>
      <c r="DB124" s="1">
        <v>34.50247023778193</v>
      </c>
      <c r="DC124" s="1">
        <v>24.05091772318969</v>
      </c>
      <c r="DD124" s="1">
        <v>19.45325092577597</v>
      </c>
      <c r="DE124" s="1">
        <v>18.176730708673453</v>
      </c>
      <c r="DF124" s="1">
        <v>28.203084796184978</v>
      </c>
      <c r="DG124" s="1">
        <v>-3.6388952599855027</v>
      </c>
      <c r="DH124" s="1">
        <v>-5.098116546914163</v>
      </c>
      <c r="DI124" s="1"/>
      <c r="DJ124" s="1"/>
      <c r="DK124" s="1">
        <v>0.000000000000000000000000000000000000000000000026254587073121327</v>
      </c>
      <c r="DL124" s="1">
        <v>0.9999999861363849</v>
      </c>
      <c r="DM124" s="1">
        <v>0.0656999119335323</v>
      </c>
      <c r="DN124" s="1">
        <v>0.07660073295169234</v>
      </c>
      <c r="DO124" s="1">
        <v>0.011979329054289401</v>
      </c>
      <c r="DP124" s="1">
        <v>0.40402443886789036</v>
      </c>
      <c r="DQ124" s="1">
        <v>0.0008471015917449814</v>
      </c>
      <c r="DR124" s="1">
        <v>0.000274246598284418</v>
      </c>
      <c r="DS124" s="1"/>
    </row>
    <row r="125" spans="1:12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>
        <v>-1</v>
      </c>
      <c r="P125" s="1">
        <v>-1</v>
      </c>
      <c r="Q125" s="1">
        <v>-1</v>
      </c>
      <c r="R125" s="1">
        <v>-1</v>
      </c>
      <c r="S125" s="1">
        <v>0</v>
      </c>
      <c r="T125" s="1">
        <v>1</v>
      </c>
      <c r="U125" s="1" t="s">
        <v>45</v>
      </c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>
        <v>-15.099999834136872</v>
      </c>
      <c r="AX125" s="1">
        <v>-5.34059515364508</v>
      </c>
      <c r="AY125" s="1">
        <v>-14.673037177755116</v>
      </c>
      <c r="AZ125" s="1">
        <v>-7.601784501731118</v>
      </c>
      <c r="BA125" s="1">
        <v>-14.273303799008941</v>
      </c>
      <c r="BB125" s="1">
        <v>-7.932936251387217</v>
      </c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>
        <v>2.586020733454756</v>
      </c>
      <c r="CX125" s="1">
        <v>7.491856015204865</v>
      </c>
      <c r="CY125" s="1">
        <v>-1.423678972282043</v>
      </c>
      <c r="CZ125" s="1" t="s">
        <v>45</v>
      </c>
      <c r="DA125" s="1">
        <v>-92.65787485744428</v>
      </c>
      <c r="DB125" s="1">
        <v>-66.61790646950223</v>
      </c>
      <c r="DC125" s="1">
        <v>26.701725497179396</v>
      </c>
      <c r="DD125" s="1">
        <v>21.928560470331593</v>
      </c>
      <c r="DE125" s="1">
        <v>22.34675683753036</v>
      </c>
      <c r="DF125" s="1">
        <v>28.580265502715356</v>
      </c>
      <c r="DG125" s="1">
        <v>-0.8900631873455059</v>
      </c>
      <c r="DH125" s="1">
        <v>-2.121129153939722</v>
      </c>
      <c r="DI125" s="1"/>
      <c r="DJ125" s="1"/>
      <c r="DK125" s="1">
        <v>0.000000000000000000000000000000000000000000001626346128091897</v>
      </c>
      <c r="DL125" s="1">
        <v>0.00000000000000000000000000000000000000000001213328452842914</v>
      </c>
      <c r="DM125" s="1">
        <v>0.9306705604277187</v>
      </c>
      <c r="DN125" s="1">
        <v>0.9104292483846912</v>
      </c>
      <c r="DO125" s="1">
        <v>0.7752679522924358</v>
      </c>
      <c r="DP125" s="1">
        <v>0.5891354215162488</v>
      </c>
      <c r="DQ125" s="1">
        <v>0.013235431315383009</v>
      </c>
      <c r="DR125" s="1">
        <v>0.005383075199898221</v>
      </c>
      <c r="DS125" s="1"/>
    </row>
    <row r="126" spans="1:12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>
        <v>1.8136118774117893</v>
      </c>
      <c r="CX126" s="1">
        <v>7.138244576885901</v>
      </c>
      <c r="CY126" s="1">
        <v>1.0008695373542396</v>
      </c>
      <c r="CZ126" s="1" t="s">
        <v>45</v>
      </c>
      <c r="DA126" s="1">
        <v>-96.24469601272881</v>
      </c>
      <c r="DB126" s="1">
        <v>-75.24881492174062</v>
      </c>
      <c r="DC126" s="1">
        <v>-80.04400142939735</v>
      </c>
      <c r="DD126" s="1">
        <v>14.953048385636658</v>
      </c>
      <c r="DE126" s="1">
        <v>14.441702847451388</v>
      </c>
      <c r="DF126" s="1">
        <v>21.405941170235796</v>
      </c>
      <c r="DG126" s="1">
        <v>-2.8838435928528163</v>
      </c>
      <c r="DH126" s="1">
        <v>-4.089654290445428</v>
      </c>
      <c r="DI126" s="1"/>
      <c r="DJ126" s="1"/>
      <c r="DK126" s="1">
        <v>0.00000000000000000000000000000000000000000000004502734550395961</v>
      </c>
      <c r="DL126" s="1">
        <v>0.000000000000000000000000000000000000000000000002165820536463959</v>
      </c>
      <c r="DM126" s="1">
        <v>0.00000000000000000000000000000000000000000000004071137824761697</v>
      </c>
      <c r="DN126" s="1">
        <v>0.0008507849416347268</v>
      </c>
      <c r="DO126" s="1">
        <v>0.0002859766040331968</v>
      </c>
      <c r="DP126" s="1">
        <v>0.0004512795631521707</v>
      </c>
      <c r="DQ126" s="1">
        <v>0.001802396230288721</v>
      </c>
      <c r="DR126" s="1">
        <v>0.0007518147509974563</v>
      </c>
      <c r="DS126" s="1"/>
    </row>
    <row r="127" spans="1:12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>
        <v>3.1226823540840667</v>
      </c>
      <c r="CX127" s="1">
        <v>6.614498663397258</v>
      </c>
      <c r="CY127" s="1">
        <v>1.1218132030270822</v>
      </c>
      <c r="CZ127" s="1" t="s">
        <v>45</v>
      </c>
      <c r="DA127" s="1">
        <v>-91.53605844573553</v>
      </c>
      <c r="DB127" s="1">
        <v>-76.22848751375092</v>
      </c>
      <c r="DC127" s="1">
        <v>-75.15835817187443</v>
      </c>
      <c r="DD127" s="1">
        <v>-80.09644339519369</v>
      </c>
      <c r="DE127" s="1">
        <v>20.160244461085806</v>
      </c>
      <c r="DF127" s="1">
        <v>24.05049114440841</v>
      </c>
      <c r="DG127" s="1">
        <v>-0.8213204294768024</v>
      </c>
      <c r="DH127" s="1">
        <v>-2.0196788716748735</v>
      </c>
      <c r="DI127" s="1"/>
      <c r="DJ127" s="1"/>
      <c r="DK127" s="1">
        <v>0.000000000000000000000000000000000000000000004993575923672412</v>
      </c>
      <c r="DL127" s="1">
        <v>0.0000000000000000000000000000000000000000000000008131226647352649</v>
      </c>
      <c r="DM127" s="1">
        <v>0.0000000000000000000000000000000000000000000053891926967907666</v>
      </c>
      <c r="DN127" s="1">
        <v>0.00000000000000000000000000000000000000000000447043728311478</v>
      </c>
      <c r="DO127" s="1">
        <v>0.08706860212028529</v>
      </c>
      <c r="DP127" s="1">
        <v>0.00635271141719594</v>
      </c>
      <c r="DQ127" s="1">
        <v>0.01417727289398185</v>
      </c>
      <c r="DR127" s="1">
        <v>0.00595785246590644</v>
      </c>
      <c r="DS127" s="1"/>
    </row>
    <row r="128" spans="1:12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>
        <v>0.38569818100859665</v>
      </c>
      <c r="CX128" s="1">
        <v>7.1527301464987465</v>
      </c>
      <c r="CY128" s="1">
        <v>1.1305606202119909</v>
      </c>
      <c r="CZ128" s="1" t="s">
        <v>45</v>
      </c>
      <c r="DA128" s="1">
        <v>-101.254687774326</v>
      </c>
      <c r="DB128" s="1">
        <v>-76.84427421834377</v>
      </c>
      <c r="DC128" s="1">
        <v>-86.71540339090667</v>
      </c>
      <c r="DD128" s="1">
        <v>-89.50783395001702</v>
      </c>
      <c r="DE128" s="1">
        <v>-91.7550485185338</v>
      </c>
      <c r="DF128" s="1">
        <v>16.750433498415063</v>
      </c>
      <c r="DG128" s="1">
        <v>-4.884593754814142</v>
      </c>
      <c r="DH128" s="1">
        <v>-6.021522416869196</v>
      </c>
      <c r="DI128" s="1"/>
      <c r="DJ128" s="1"/>
      <c r="DK128" s="1">
        <v>0.00000000000000000000000000000000000000000000000030037554259878286</v>
      </c>
      <c r="DL128" s="1">
        <v>0.0000000000000000000000000000000000000000000000004392616603270512</v>
      </c>
      <c r="DM128" s="1">
        <v>0.00000000000000000000000000000000000000000000000005156591718997336</v>
      </c>
      <c r="DN128" s="1">
        <v>0.000000000000000000000000000000000000000000000000365624274306687</v>
      </c>
      <c r="DO128" s="1">
        <v>0.00000000000000000000000000000000000000000000000002166044577969028</v>
      </c>
      <c r="DP128" s="1">
        <v>0.000004291255509115773</v>
      </c>
      <c r="DQ128" s="1">
        <v>0.0002437448875877778</v>
      </c>
      <c r="DR128" s="1">
        <v>0.00010892088853101686</v>
      </c>
      <c r="DS128" s="1"/>
    </row>
    <row r="129" spans="1:12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>
        <v>1.5793797866519537</v>
      </c>
      <c r="CX129" s="1">
        <v>0.8024791802970861</v>
      </c>
      <c r="CY129" s="1">
        <v>1.1075150044153494</v>
      </c>
      <c r="CZ129" s="1" t="s">
        <v>45</v>
      </c>
      <c r="DA129" s="1">
        <v>-94.36164887712002</v>
      </c>
      <c r="DB129" s="1">
        <v>-97.84003500178581</v>
      </c>
      <c r="DC129" s="1">
        <v>-92.09278930203479</v>
      </c>
      <c r="DD129" s="1">
        <v>-93.71790933467275</v>
      </c>
      <c r="DE129" s="1">
        <v>-92.16769991375538</v>
      </c>
      <c r="DF129" s="1">
        <v>-93.87268861838679</v>
      </c>
      <c r="DG129" s="1">
        <v>1.043484145073599</v>
      </c>
      <c r="DH129" s="1">
        <v>0.8076753170442563</v>
      </c>
      <c r="DI129" s="1"/>
      <c r="DJ129" s="1"/>
      <c r="DK129" s="1">
        <v>0.0000000000000000000000000000000000000000000002959874689156373</v>
      </c>
      <c r="DL129" s="1">
        <v>0.0000000000000000000000000000000000000000000000000000000003344877731255873</v>
      </c>
      <c r="DM129" s="1">
        <v>0.00000000000000000000000000000000000000000000000000023822850128858492</v>
      </c>
      <c r="DN129" s="1">
        <v>0.000000000000000000000000000000000000000000000000005427783462691999</v>
      </c>
      <c r="DO129" s="1">
        <v>0.00000000000000000000000000000000000000000000000001433689704142838</v>
      </c>
      <c r="DP129" s="1">
        <v>0.000000000000000000000000000000000000000000000000000003886627039383701</v>
      </c>
      <c r="DQ129" s="1">
        <v>0.09150967977389385</v>
      </c>
      <c r="DR129" s="1">
        <v>0.10069179133373153</v>
      </c>
      <c r="DS129" s="1"/>
    </row>
    <row r="130" spans="1:12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3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>
        <v>1.7143344101757059</v>
      </c>
      <c r="CX130" s="1">
        <v>0.552206489399944</v>
      </c>
      <c r="CY130" s="1">
        <v>1.080631240515657</v>
      </c>
      <c r="CZ130" s="1" t="s">
        <v>45</v>
      </c>
      <c r="DA130" s="1">
        <v>-93.77403389546</v>
      </c>
      <c r="DB130" s="1">
        <v>-98.51644494655297</v>
      </c>
      <c r="DC130" s="1">
        <v>-91.86557573691368</v>
      </c>
      <c r="DD130" s="1">
        <v>-93.51945502996715</v>
      </c>
      <c r="DE130" s="1">
        <v>-91.71209290032755</v>
      </c>
      <c r="DF130" s="1">
        <v>-94.01311418864093</v>
      </c>
      <c r="DG130" s="1">
        <v>-97.59147163522198</v>
      </c>
      <c r="DH130" s="1">
        <v>1.2043685848433605</v>
      </c>
      <c r="DI130" s="1"/>
      <c r="DJ130" s="1"/>
      <c r="DK130" s="1">
        <v>0.0000000000000000000000000000000000000000000005326859829406326</v>
      </c>
      <c r="DL130" s="1">
        <v>0.00000000000000000000000000000000000000000000000000000000017006664360641575</v>
      </c>
      <c r="DM130" s="1">
        <v>0.00000000000000000000000000000000000000000000000000029900008798334533</v>
      </c>
      <c r="DN130" s="1">
        <v>0.000000000000000000000000000000000000000000000000006619270405540152</v>
      </c>
      <c r="DO130" s="1">
        <v>0.0000000000000000000000000000000000000000000000000226111566228166</v>
      </c>
      <c r="DP130" s="1">
        <v>0.000000000000000000000000000000000000000000000000000003377433583456497</v>
      </c>
      <c r="DQ130" s="1">
        <v>0.000000000000000000000000000000000000000000013330609832502609</v>
      </c>
      <c r="DR130" s="1">
        <v>0.1497186023874582</v>
      </c>
      <c r="DS130" s="1"/>
    </row>
    <row r="131" spans="1:12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</row>
    <row r="132" spans="1:12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3" t="s">
        <v>58</v>
      </c>
      <c r="DB132" s="1"/>
      <c r="DC132" s="1"/>
      <c r="DD132" s="1"/>
      <c r="DE132" s="1"/>
      <c r="DF132" s="1"/>
      <c r="DG132" s="1"/>
      <c r="DH132" s="1"/>
      <c r="DI132" s="1"/>
      <c r="DJ132" s="1"/>
      <c r="DK132" s="1" t="s">
        <v>44</v>
      </c>
      <c r="DL132" s="1" t="s">
        <v>44</v>
      </c>
      <c r="DM132" s="1" t="s">
        <v>44</v>
      </c>
      <c r="DN132" s="1" t="s">
        <v>44</v>
      </c>
      <c r="DO132" s="1" t="s">
        <v>44</v>
      </c>
      <c r="DP132" s="1" t="s">
        <v>44</v>
      </c>
      <c r="DQ132" s="1" t="s">
        <v>44</v>
      </c>
      <c r="DR132" s="1" t="s">
        <v>44</v>
      </c>
      <c r="DS132" s="1"/>
    </row>
    <row r="133" spans="1:12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 cm="1">
        <f t="array" ref="Z133">_xlfn.ANCHORARRAY(AW121)+_xlfn.ANCHORARRAY(Z50)</f>
        <v>0</v>
      </c>
      <c r="AA133" s="1">
        <v>1.229403163001395</v>
      </c>
      <c r="AB133" s="1">
        <v>5.210766114862082</v>
      </c>
      <c r="AC133" s="1">
        <v>1.5471007314820429</v>
      </c>
      <c r="AD133" s="1">
        <v>4.862032497838695</v>
      </c>
      <c r="AE133" s="1">
        <v>0.5814619237497856</v>
      </c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>
        <f>CL99:CS101</f>
        <v>0</v>
      </c>
      <c r="DB133" s="1">
        <v>5.362301205097685</v>
      </c>
      <c r="DC133" s="1">
        <v>9.47834823606792</v>
      </c>
      <c r="DD133" s="1">
        <v>6.829908269427497</v>
      </c>
      <c r="DE133" s="1">
        <v>10.792348645763932</v>
      </c>
      <c r="DF133" s="1">
        <v>6.635898531358495</v>
      </c>
      <c r="DG133" s="1">
        <v>2.473542073506853</v>
      </c>
      <c r="DH133" s="1">
        <v>2.3397209660984775</v>
      </c>
      <c r="DI133" s="1"/>
      <c r="DJ133" s="1" t="s">
        <v>45</v>
      </c>
      <c r="DK133" s="6" cm="1">
        <f t="array" ref="DK133">MMULT(_xlfn.ANCHORARRAY(DA133),DK123:DR130)</f>
        <v>0</v>
      </c>
      <c r="DL133" s="6">
        <v>5.362301227509017</v>
      </c>
      <c r="DM133" s="6">
        <v>9.19885234266064</v>
      </c>
      <c r="DN133" s="6">
        <v>9.130510867237417</v>
      </c>
      <c r="DO133" s="6">
        <v>9.229260216346251</v>
      </c>
      <c r="DP133" s="6">
        <v>7.8224250977375736</v>
      </c>
      <c r="DQ133" s="6">
        <v>6.652003972771192</v>
      </c>
      <c r="DR133" s="6">
        <v>5.866227637464894</v>
      </c>
      <c r="DS133" s="1"/>
    </row>
    <row r="134" spans="1:12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>
        <v>11.728790935783</v>
      </c>
      <c r="AA134" s="1">
        <v>-0.38620608189736366</v>
      </c>
      <c r="AB134" s="1">
        <v>15.951770883865088</v>
      </c>
      <c r="AC134" s="1">
        <v>3.560613859241838</v>
      </c>
      <c r="AD134" s="1">
        <v>15.40621907007995</v>
      </c>
      <c r="AE134" s="1">
        <v>2.8544629639689267</v>
      </c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>
        <v>4.417767885171431</v>
      </c>
      <c r="DB134" s="1">
        <v>7.078401113931399</v>
      </c>
      <c r="DC134" s="1">
        <v>7.5343655387970045</v>
      </c>
      <c r="DD134" s="1">
        <v>4.650456268268908</v>
      </c>
      <c r="DE134" s="1">
        <v>8.585895175279227</v>
      </c>
      <c r="DF134" s="1">
        <v>6.465670234994084</v>
      </c>
      <c r="DG134" s="1">
        <v>1.347532427211092</v>
      </c>
      <c r="DH134" s="1">
        <v>1.2504874486778652</v>
      </c>
      <c r="DI134" s="1"/>
      <c r="DJ134" s="1" t="s">
        <v>45</v>
      </c>
      <c r="DK134" s="6">
        <v>4.417767885171431</v>
      </c>
      <c r="DL134" s="6">
        <v>7.078401077045404</v>
      </c>
      <c r="DM134" s="6">
        <v>7.493096938915817</v>
      </c>
      <c r="DN134" s="6">
        <v>7.459213967690328</v>
      </c>
      <c r="DO134" s="6">
        <v>7.228818327199926</v>
      </c>
      <c r="DP134" s="6">
        <v>7.355419510228004</v>
      </c>
      <c r="DQ134" s="6">
        <v>4.24032620284969</v>
      </c>
      <c r="DR134" s="6">
        <v>3.6771572112776183</v>
      </c>
      <c r="DS134" s="1"/>
    </row>
    <row r="135" spans="1:12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>
        <v>-7.646433015843069</v>
      </c>
      <c r="AA135" s="1">
        <v>1.5869818369388242</v>
      </c>
      <c r="AB135" s="1">
        <v>-10.84377546296757</v>
      </c>
      <c r="AC135" s="1">
        <v>0.4867647754528641</v>
      </c>
      <c r="AD135" s="1">
        <v>-10.386670369637631</v>
      </c>
      <c r="AE135" s="1">
        <v>2.1534277759688605</v>
      </c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>
        <v>2.64230733250373</v>
      </c>
      <c r="DB135" s="1">
        <v>10.252079107554158</v>
      </c>
      <c r="DC135" s="1">
        <v>8.028934642083215</v>
      </c>
      <c r="DD135" s="1">
        <v>10.642215078903082</v>
      </c>
      <c r="DE135" s="1">
        <v>6.982990823464293</v>
      </c>
      <c r="DF135" s="1">
        <v>7.400712370098391</v>
      </c>
      <c r="DG135" s="1">
        <v>1.965135263205358</v>
      </c>
      <c r="DH135" s="1">
        <v>1.6585704816777107</v>
      </c>
      <c r="DI135" s="1"/>
      <c r="DJ135" s="1" t="s">
        <v>45</v>
      </c>
      <c r="DK135" s="6">
        <v>2.64230733250373</v>
      </c>
      <c r="DL135" s="6">
        <v>10.25207900205521</v>
      </c>
      <c r="DM135" s="6">
        <v>8.155444124980416</v>
      </c>
      <c r="DN135" s="6">
        <v>8.1361706819017</v>
      </c>
      <c r="DO135" s="6">
        <v>7.289771846939733</v>
      </c>
      <c r="DP135" s="6">
        <v>8.92149977838758</v>
      </c>
      <c r="DQ135" s="6">
        <v>2.7351980137148817</v>
      </c>
      <c r="DR135" s="6">
        <v>2.4903154214819017</v>
      </c>
      <c r="DS135" s="1"/>
    </row>
    <row r="136" spans="1:12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>
        <v>-2.6000745109290353</v>
      </c>
      <c r="AA136" s="1">
        <v>1.9898267415297224</v>
      </c>
      <c r="AB136" s="1">
        <v>5.88387292573902</v>
      </c>
      <c r="AC136" s="1">
        <v>2.4622072560657244</v>
      </c>
      <c r="AD136" s="1">
        <v>4.723539710419928</v>
      </c>
      <c r="AE136" s="1">
        <v>0.24663285459102546</v>
      </c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</row>
    <row r="137" spans="1:12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>
        <v>-13.50752243741286</v>
      </c>
      <c r="AA137" s="1">
        <v>-1.6384898904469094</v>
      </c>
      <c r="AB137" s="1">
        <v>-11.722389208306314</v>
      </c>
      <c r="AC137" s="1">
        <v>-4.609661106612495</v>
      </c>
      <c r="AD137" s="1">
        <v>-12.274553538613976</v>
      </c>
      <c r="AE137" s="1">
        <v>-4.93313435649499</v>
      </c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</row>
    <row r="138" spans="1:12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</row>
    <row r="139" spans="1:12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3" t="s">
        <v>61</v>
      </c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6" cm="1">
        <f t="array" ref="DK139">_xlfn.ANCHORARRAY(DK89)</f>
        <v>0</v>
      </c>
      <c r="DL139" s="6">
        <v>3.184925059107293</v>
      </c>
      <c r="DM139" s="6">
        <v>7.276508955290204</v>
      </c>
      <c r="DN139" s="6">
        <v>3.830625022756144</v>
      </c>
      <c r="DO139" s="6">
        <v>3.184993903467531</v>
      </c>
      <c r="DP139" s="6">
        <v>3.5032185166813017</v>
      </c>
      <c r="DQ139" s="6">
        <v>4.0260806166618</v>
      </c>
      <c r="DR139" s="6">
        <v>4.3132950089365645</v>
      </c>
      <c r="DS139" s="1"/>
    </row>
    <row r="140" spans="1:12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>
        <f>NORMALIZE(Z133:Z137)</f>
        <v>0</v>
      </c>
      <c r="AA140" s="1">
        <f>NORMALIZE(AA133:AA137)</f>
        <v>0</v>
      </c>
      <c r="AB140" s="1">
        <f>NORMALIZE(AB133:AB137)</f>
        <v>0</v>
      </c>
      <c r="AC140" s="1">
        <f>NORMALIZE(AC133:AC137)</f>
        <v>0</v>
      </c>
      <c r="AD140" s="1">
        <f>NORMALIZE(AD133:AD137)</f>
        <v>0</v>
      </c>
      <c r="AE140" s="1">
        <f>NORMALIZE(AE133:AE137)</f>
        <v>0</v>
      </c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6">
        <v>2.382895030375473</v>
      </c>
      <c r="DL140" s="6">
        <v>7.76003847643616</v>
      </c>
      <c r="DM140" s="6">
        <v>2.635380723271024</v>
      </c>
      <c r="DN140" s="6">
        <v>6.507102530156996</v>
      </c>
      <c r="DO140" s="6">
        <v>7.759999469848996</v>
      </c>
      <c r="DP140" s="6">
        <v>7.085431147255333</v>
      </c>
      <c r="DQ140" s="6">
        <v>6.373659150608678</v>
      </c>
      <c r="DR140" s="6">
        <v>5.099330178489644</v>
      </c>
      <c r="DS140" s="1"/>
    </row>
    <row r="141" spans="1:12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7"/>
      <c r="Z141" s="1">
        <v>1.289865263864401</v>
      </c>
      <c r="AA141" s="1">
        <v>-0.6185217915609925</v>
      </c>
      <c r="AB141" s="1">
        <v>1.264212139192354</v>
      </c>
      <c r="AC141" s="1">
        <v>0.9049198834679564</v>
      </c>
      <c r="AD141" s="1">
        <v>1.2848203492247023</v>
      </c>
      <c r="AE141" s="1">
        <v>0.8746742552780108</v>
      </c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7"/>
      <c r="AU141" s="7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6">
        <v>2.4609638082317273</v>
      </c>
      <c r="DL141" s="6">
        <v>-0.5228251078352595</v>
      </c>
      <c r="DM141" s="6">
        <v>2.359120730464739</v>
      </c>
      <c r="DN141" s="6">
        <v>0.9939472465231489</v>
      </c>
      <c r="DO141" s="6">
        <v>-0.5227663316328555</v>
      </c>
      <c r="DP141" s="6">
        <v>0.4525211924223856</v>
      </c>
      <c r="DQ141" s="6">
        <v>0.9272197176113407</v>
      </c>
      <c r="DR141" s="6">
        <v>1.3846663205546315</v>
      </c>
      <c r="DS141" s="1"/>
    </row>
    <row r="142" spans="1:12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>
        <v>-0.6290991866910347</v>
      </c>
      <c r="AA142" s="1">
        <v>0.6763830012917799</v>
      </c>
      <c r="AB142" s="1">
        <v>-0.9857799464210725</v>
      </c>
      <c r="AC142" s="1">
        <v>-0.06386622404702628</v>
      </c>
      <c r="AD142" s="1">
        <v>-0.9333185390429869</v>
      </c>
      <c r="AE142" s="1">
        <v>0.6453541244671062</v>
      </c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6" cm="1">
        <f t="array" ref="DK142">_xlfn.ANCHORARRAY(DK111)</f>
        <v>0</v>
      </c>
      <c r="DL142" s="6">
        <v>6.432889311113713</v>
      </c>
      <c r="DM142" s="6">
        <v>-0.09616837509567758</v>
      </c>
      <c r="DN142" s="6">
        <v>-0.9045355728128025</v>
      </c>
      <c r="DO142" s="6">
        <v>6.4321506083954185</v>
      </c>
      <c r="DP142" s="6">
        <v>6.262371674355515</v>
      </c>
      <c r="DQ142" s="6">
        <v>1.546102559272063</v>
      </c>
      <c r="DR142" s="6">
        <v>1.1673328852194036</v>
      </c>
      <c r="DS142" s="1"/>
    </row>
    <row r="143" spans="1:12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>
        <v>-0.12929683086456714</v>
      </c>
      <c r="AA143" s="1">
        <v>0.9407500150725785</v>
      </c>
      <c r="AB143" s="1">
        <v>0.4188219974375145</v>
      </c>
      <c r="AC143" s="1">
        <v>0.5587346842102053</v>
      </c>
      <c r="AD143" s="1">
        <v>0.36613046866915944</v>
      </c>
      <c r="AE143" s="1">
        <v>0.021610169406333018</v>
      </c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6">
        <v>-2.561090923841301</v>
      </c>
      <c r="DL143" s="6">
        <v>1.716087051272995</v>
      </c>
      <c r="DM143" s="6">
        <v>-1.9915304197030534</v>
      </c>
      <c r="DN143" s="6">
        <v>-2.149023568451506</v>
      </c>
      <c r="DO143" s="6">
        <v>1.715341874060657</v>
      </c>
      <c r="DP143" s="6">
        <v>1.5677315348027716</v>
      </c>
      <c r="DQ143" s="6">
        <v>-1.330437800854682</v>
      </c>
      <c r="DR143" s="6">
        <v>-1.4359155860479214</v>
      </c>
      <c r="DS143" s="1"/>
    </row>
    <row r="144" spans="1:12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>
        <v>-1.2095942699788347</v>
      </c>
      <c r="AA144" s="1">
        <v>-1.4403331812532447</v>
      </c>
      <c r="AB144" s="1">
        <v>-1.0595561608611643</v>
      </c>
      <c r="AC144" s="1">
        <v>-1.6701085794585355</v>
      </c>
      <c r="AD144" s="1">
        <v>-1.0956728608958983</v>
      </c>
      <c r="AE144" s="1">
        <v>-1.6727768096623525</v>
      </c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6">
        <v>0.5227719817162684</v>
      </c>
      <c r="DL144" s="6">
        <v>5.977972858075983</v>
      </c>
      <c r="DM144" s="6">
        <v>2.0385731367019995</v>
      </c>
      <c r="DN144" s="6">
        <v>1.6252693362605855</v>
      </c>
      <c r="DO144" s="6">
        <v>5.977574935465783</v>
      </c>
      <c r="DP144" s="6">
        <v>5.882587955371519</v>
      </c>
      <c r="DQ144" s="6">
        <v>3.0842816104630146</v>
      </c>
      <c r="DR144" s="6">
        <v>2.783111985887354</v>
      </c>
      <c r="DS144" s="1"/>
    </row>
    <row r="145" spans="1:12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5" t="s">
        <v>62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>
        <v>1</v>
      </c>
      <c r="AA145" s="1">
        <v>1</v>
      </c>
      <c r="AB145" s="1">
        <v>1</v>
      </c>
      <c r="AC145" s="1">
        <v>1</v>
      </c>
      <c r="AD145" s="1">
        <v>1</v>
      </c>
      <c r="AE145" s="1">
        <v>1</v>
      </c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6" cm="1">
        <f t="array" ref="DK145">_xlfn.ANCHORARRAY(DK133)</f>
        <v>0</v>
      </c>
      <c r="DL145" s="6">
        <v>5.362301227509017</v>
      </c>
      <c r="DM145" s="6">
        <v>9.19885234266064</v>
      </c>
      <c r="DN145" s="6">
        <v>9.130510867237417</v>
      </c>
      <c r="DO145" s="6">
        <v>9.229260216346251</v>
      </c>
      <c r="DP145" s="6">
        <v>7.8224250977375736</v>
      </c>
      <c r="DQ145" s="6">
        <v>6.652003972771192</v>
      </c>
      <c r="DR145" s="6">
        <v>5.866227637464894</v>
      </c>
      <c r="DS145" s="1"/>
    </row>
    <row r="146" spans="1:12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3" t="s">
        <v>63</v>
      </c>
      <c r="P146" s="1"/>
      <c r="Q146" s="1"/>
      <c r="R146" s="1"/>
      <c r="S146" s="1"/>
      <c r="T146" s="3" t="s">
        <v>64</v>
      </c>
      <c r="U146" s="1"/>
      <c r="V146" s="1"/>
      <c r="W146" s="1"/>
      <c r="X146" s="1"/>
      <c r="Y146" s="1"/>
      <c r="Z146" s="1" t="s">
        <v>44</v>
      </c>
      <c r="AA146" s="1" t="s">
        <v>44</v>
      </c>
      <c r="AB146" s="1" t="s">
        <v>44</v>
      </c>
      <c r="AC146" s="1" t="s">
        <v>44</v>
      </c>
      <c r="AD146" s="1" t="s">
        <v>44</v>
      </c>
      <c r="AE146" s="1" t="s">
        <v>44</v>
      </c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6">
        <v>4.417767885171431</v>
      </c>
      <c r="DL146" s="6">
        <v>7.078401077045404</v>
      </c>
      <c r="DM146" s="6">
        <v>7.493096938915817</v>
      </c>
      <c r="DN146" s="6">
        <v>7.459213967690328</v>
      </c>
      <c r="DO146" s="6">
        <v>7.228818327199926</v>
      </c>
      <c r="DP146" s="6">
        <v>7.355419510228004</v>
      </c>
      <c r="DQ146" s="6">
        <v>4.24032620284969</v>
      </c>
      <c r="DR146" s="6">
        <v>3.6771572112776183</v>
      </c>
      <c r="DS146" s="1"/>
    </row>
    <row r="147" spans="1:12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>
        <v>1</v>
      </c>
      <c r="P147" s="1">
        <v>0</v>
      </c>
      <c r="Q147" s="1">
        <v>0</v>
      </c>
      <c r="R147" s="1">
        <v>0</v>
      </c>
      <c r="S147" s="1">
        <v>0</v>
      </c>
      <c r="T147" s="1">
        <v>2</v>
      </c>
      <c r="U147" s="1" t="s">
        <v>45</v>
      </c>
      <c r="V147" s="1"/>
      <c r="W147" s="1"/>
      <c r="X147" s="1"/>
      <c r="Y147" s="1"/>
      <c r="Z147" s="1">
        <f>MMULT(O147:T151,Z140:AE145)</f>
        <v>0</v>
      </c>
      <c r="AA147" s="1">
        <v>2.441721956449879</v>
      </c>
      <c r="AB147" s="1">
        <v>2.3623019706523687</v>
      </c>
      <c r="AC147" s="1">
        <v>2.2703202358274</v>
      </c>
      <c r="AD147" s="1">
        <v>2.378040582045023</v>
      </c>
      <c r="AE147" s="1">
        <v>2.1311382605109026</v>
      </c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6">
        <v>2.64230733250373</v>
      </c>
      <c r="DL147" s="6">
        <v>10.25207900205521</v>
      </c>
      <c r="DM147" s="6">
        <v>8.155444124980416</v>
      </c>
      <c r="DN147" s="6">
        <v>8.1361706819017</v>
      </c>
      <c r="DO147" s="6">
        <v>7.289771846939733</v>
      </c>
      <c r="DP147" s="6">
        <v>8.92149977838758</v>
      </c>
      <c r="DQ147" s="6">
        <v>2.7351980137148817</v>
      </c>
      <c r="DR147" s="6">
        <v>2.4903154214819017</v>
      </c>
      <c r="DS147" s="1"/>
    </row>
    <row r="148" spans="1:12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>
        <v>0</v>
      </c>
      <c r="P148" s="1">
        <v>2</v>
      </c>
      <c r="Q148" s="1">
        <v>0</v>
      </c>
      <c r="R148" s="1">
        <v>0</v>
      </c>
      <c r="S148" s="1">
        <v>0</v>
      </c>
      <c r="T148" s="1">
        <v>3</v>
      </c>
      <c r="U148" s="1" t="s">
        <v>45</v>
      </c>
      <c r="V148" s="1"/>
      <c r="W148" s="1"/>
      <c r="X148" s="1"/>
      <c r="Y148" s="1"/>
      <c r="Z148" s="1">
        <v>5.5797305277288025</v>
      </c>
      <c r="AA148" s="1">
        <v>1.762956416878015</v>
      </c>
      <c r="AB148" s="1">
        <v>5.528424278384708</v>
      </c>
      <c r="AC148" s="1">
        <v>4.809839766935912</v>
      </c>
      <c r="AD148" s="1">
        <v>5.569640698449405</v>
      </c>
      <c r="AE148" s="1">
        <v>4.749348510556022</v>
      </c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3" t="s">
        <v>60</v>
      </c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 t="s">
        <v>44</v>
      </c>
      <c r="DL148" s="1" t="s">
        <v>44</v>
      </c>
      <c r="DM148" s="1" t="s">
        <v>44</v>
      </c>
      <c r="DN148" s="1" t="s">
        <v>44</v>
      </c>
      <c r="DO148" s="1" t="s">
        <v>44</v>
      </c>
      <c r="DP148" s="1" t="s">
        <v>44</v>
      </c>
      <c r="DQ148" s="1" t="s">
        <v>44</v>
      </c>
      <c r="DR148" s="1" t="s">
        <v>44</v>
      </c>
      <c r="DS148" s="1"/>
    </row>
    <row r="149" spans="1:12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>
        <v>0</v>
      </c>
      <c r="P149" s="1">
        <v>0</v>
      </c>
      <c r="Q149" s="1">
        <v>5</v>
      </c>
      <c r="R149" s="1">
        <v>0</v>
      </c>
      <c r="S149" s="1">
        <v>0</v>
      </c>
      <c r="T149" s="1">
        <v>0</v>
      </c>
      <c r="U149" s="1" t="s">
        <v>45</v>
      </c>
      <c r="V149" s="1"/>
      <c r="W149" s="1"/>
      <c r="X149" s="1"/>
      <c r="Y149" s="1"/>
      <c r="Z149" s="1">
        <v>-3.1454959334551735</v>
      </c>
      <c r="AA149" s="1">
        <v>3.3819150064588994</v>
      </c>
      <c r="AB149" s="1">
        <v>-4.9288997321053625</v>
      </c>
      <c r="AC149" s="1">
        <v>-0.31933112023513144</v>
      </c>
      <c r="AD149" s="1">
        <v>-4.666592695214934</v>
      </c>
      <c r="AE149" s="1">
        <v>3.226770622335531</v>
      </c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>
        <v>0</v>
      </c>
      <c r="BZ149" s="1">
        <v>0</v>
      </c>
      <c r="CA149" s="1">
        <v>1</v>
      </c>
      <c r="CB149" s="1">
        <v>-1</v>
      </c>
      <c r="CC149" s="1">
        <v>0</v>
      </c>
      <c r="CD149" s="1">
        <v>-1</v>
      </c>
      <c r="CE149" s="1">
        <v>1</v>
      </c>
      <c r="CF149" s="1">
        <v>0</v>
      </c>
      <c r="CG149" s="1">
        <v>-1</v>
      </c>
      <c r="CH149" s="1" t="s">
        <v>45</v>
      </c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>
        <f>MMULT($BY149:$CG154,DK139:DR147)</f>
        <v>0</v>
      </c>
      <c r="DL149" s="1">
        <v>-17.823465051571148</v>
      </c>
      <c r="DM149" s="1">
        <v>1.460124186538641</v>
      </c>
      <c r="DN149" s="1">
        <v>1.2675536684110842</v>
      </c>
      <c r="DO149" s="1">
        <v>-10.993003506087538</v>
      </c>
      <c r="DP149" s="1">
        <v>-12.791513117954654</v>
      </c>
      <c r="DQ149" s="1">
        <v>0.21364150693257367</v>
      </c>
      <c r="DR149" s="1">
        <v>0.810133665430866</v>
      </c>
      <c r="DS149" s="1"/>
    </row>
    <row r="150" spans="1:12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>
        <v>0</v>
      </c>
      <c r="P150" s="1">
        <v>0</v>
      </c>
      <c r="Q150" s="1">
        <v>0</v>
      </c>
      <c r="R150" s="1">
        <v>3</v>
      </c>
      <c r="S150" s="1">
        <v>0</v>
      </c>
      <c r="T150" s="1">
        <v>1</v>
      </c>
      <c r="U150" s="1" t="s">
        <v>45</v>
      </c>
      <c r="V150" s="1"/>
      <c r="W150" s="1"/>
      <c r="X150" s="1"/>
      <c r="Y150" s="1"/>
      <c r="Z150" s="1">
        <v>0.6121095074062985</v>
      </c>
      <c r="AA150" s="1">
        <v>3.8222500452177357</v>
      </c>
      <c r="AB150" s="1">
        <v>2.2564659923125436</v>
      </c>
      <c r="AC150" s="1">
        <v>2.676204052630616</v>
      </c>
      <c r="AD150" s="1">
        <v>2.098391406007478</v>
      </c>
      <c r="AE150" s="1">
        <v>1.064830508218999</v>
      </c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>
        <v>1</v>
      </c>
      <c r="BZ150" s="1">
        <v>1</v>
      </c>
      <c r="CA150" s="1">
        <v>1</v>
      </c>
      <c r="CB150" s="1">
        <v>0</v>
      </c>
      <c r="CC150" s="1">
        <v>-1</v>
      </c>
      <c r="CD150" s="1">
        <v>-1</v>
      </c>
      <c r="CE150" s="1">
        <v>1</v>
      </c>
      <c r="CF150" s="1">
        <v>1</v>
      </c>
      <c r="CG150" s="1">
        <v>-1</v>
      </c>
      <c r="CH150" s="1" t="s">
        <v>45</v>
      </c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>
        <v>23.070986008178973</v>
      </c>
      <c r="DL150" s="1">
        <v>4.916701820858428</v>
      </c>
      <c r="DM150" s="1">
        <v>20.76047284862306</v>
      </c>
      <c r="DN150" s="1">
        <v>20.308983184653258</v>
      </c>
      <c r="DO150" s="1">
        <v>11.897616928763679</v>
      </c>
      <c r="DP150" s="1">
        <v>9.847196195762729</v>
      </c>
      <c r="DQ150" s="1">
        <v>17.730247837179487</v>
      </c>
      <c r="DR150" s="1">
        <v>16.503164535402014</v>
      </c>
      <c r="DS150" s="1"/>
    </row>
    <row r="151" spans="1:12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>
        <v>0</v>
      </c>
      <c r="P151" s="1">
        <v>0</v>
      </c>
      <c r="Q151" s="1">
        <v>0</v>
      </c>
      <c r="R151" s="1">
        <v>0</v>
      </c>
      <c r="S151" s="1">
        <v>5</v>
      </c>
      <c r="T151" s="1">
        <v>2</v>
      </c>
      <c r="U151" s="1" t="s">
        <v>45</v>
      </c>
      <c r="V151" s="1"/>
      <c r="W151" s="1"/>
      <c r="X151" s="1"/>
      <c r="Y151" s="1"/>
      <c r="Z151" s="1">
        <v>-4.047971349894174</v>
      </c>
      <c r="AA151" s="1">
        <v>-5.201665906266223</v>
      </c>
      <c r="AB151" s="1">
        <v>-3.2977808043058214</v>
      </c>
      <c r="AC151" s="1">
        <v>-6.350542897292678</v>
      </c>
      <c r="AD151" s="1">
        <v>-3.4783643044794914</v>
      </c>
      <c r="AE151" s="1">
        <v>-6.363884048311762</v>
      </c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>
        <v>-1</v>
      </c>
      <c r="BZ151" s="1">
        <v>-1</v>
      </c>
      <c r="CA151" s="1">
        <v>-1</v>
      </c>
      <c r="CB151" s="1">
        <v>0</v>
      </c>
      <c r="CC151" s="1">
        <v>-1</v>
      </c>
      <c r="CD151" s="1">
        <v>1</v>
      </c>
      <c r="CE151" s="1">
        <v>-1</v>
      </c>
      <c r="CF151" s="1">
        <v>-1</v>
      </c>
      <c r="CG151" s="1">
        <v>1</v>
      </c>
      <c r="CH151" s="1" t="s">
        <v>45</v>
      </c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>
        <v>-17.948804160496376</v>
      </c>
      <c r="DL151" s="1">
        <v>-8.348875923404416</v>
      </c>
      <c r="DM151" s="1">
        <v>-16.777412009216953</v>
      </c>
      <c r="DN151" s="1">
        <v>-16.010936047750242</v>
      </c>
      <c r="DO151" s="1">
        <v>-15.32830067688499</v>
      </c>
      <c r="DP151" s="1">
        <v>-12.982659265368271</v>
      </c>
      <c r="DQ151" s="1">
        <v>-15.069372235470123</v>
      </c>
      <c r="DR151" s="1">
        <v>-13.631333363306172</v>
      </c>
      <c r="DS151" s="1"/>
    </row>
    <row r="152" spans="1:12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>
        <v>1</v>
      </c>
      <c r="AA152" s="1">
        <v>1</v>
      </c>
      <c r="AB152" s="1">
        <v>1</v>
      </c>
      <c r="AC152" s="1">
        <v>1</v>
      </c>
      <c r="AD152" s="1">
        <v>1</v>
      </c>
      <c r="AE152" s="1">
        <v>1</v>
      </c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>
        <v>-1</v>
      </c>
      <c r="BZ152" s="1">
        <v>0</v>
      </c>
      <c r="CA152" s="1">
        <v>-1</v>
      </c>
      <c r="CB152" s="1">
        <v>-1</v>
      </c>
      <c r="CC152" s="1">
        <v>0</v>
      </c>
      <c r="CD152" s="1">
        <v>0</v>
      </c>
      <c r="CE152" s="1">
        <v>1</v>
      </c>
      <c r="CF152" s="1">
        <v>0</v>
      </c>
      <c r="CG152" s="1">
        <v>1</v>
      </c>
      <c r="CH152" s="1" t="s">
        <v>45</v>
      </c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>
        <v>2.790876821876079</v>
      </c>
      <c r="DL152" s="1">
        <v>6.51939096717848</v>
      </c>
      <c r="DM152" s="1">
        <v>7.8148351569817915</v>
      </c>
      <c r="DN152" s="1">
        <v>13.346644852672625</v>
      </c>
      <c r="DO152" s="1">
        <v>7.424653883055889</v>
      </c>
      <c r="DP152" s="1">
        <v>6.52581349266595</v>
      </c>
      <c r="DQ152" s="1">
        <v>2.88779909294087</v>
      </c>
      <c r="DR152" s="1">
        <v>1.4912488442361953</v>
      </c>
      <c r="DS152" s="1"/>
    </row>
    <row r="153" spans="1:12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>
        <v>-1</v>
      </c>
      <c r="BZ153" s="1">
        <v>-1</v>
      </c>
      <c r="CA153" s="1">
        <v>-1</v>
      </c>
      <c r="CB153" s="1">
        <v>0</v>
      </c>
      <c r="CC153" s="1">
        <v>1</v>
      </c>
      <c r="CD153" s="1">
        <v>1</v>
      </c>
      <c r="CE153" s="1">
        <v>-1</v>
      </c>
      <c r="CF153" s="1">
        <v>0</v>
      </c>
      <c r="CG153" s="1">
        <v>1</v>
      </c>
      <c r="CH153" s="1" t="s">
        <v>45</v>
      </c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>
        <v>-18.653218123007544</v>
      </c>
      <c r="DL153" s="1">
        <v>2.161699256186976</v>
      </c>
      <c r="DM153" s="1">
        <v>-13.267375909707244</v>
      </c>
      <c r="DN153" s="1">
        <v>-12.84976921696293</v>
      </c>
      <c r="DO153" s="1">
        <v>-4.668798601563751</v>
      </c>
      <c r="DP153" s="1">
        <v>-2.4917766855347256</v>
      </c>
      <c r="DQ153" s="1">
        <v>-13.489921634329797</v>
      </c>
      <c r="DR153" s="1">
        <v>-12.826007324124397</v>
      </c>
      <c r="DS153" s="1"/>
    </row>
    <row r="154" spans="1:12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>
        <v>1</v>
      </c>
      <c r="BZ154" s="1">
        <v>1</v>
      </c>
      <c r="CA154" s="1">
        <v>1</v>
      </c>
      <c r="CB154" s="1">
        <v>0</v>
      </c>
      <c r="CC154" s="1">
        <v>0</v>
      </c>
      <c r="CD154" s="1">
        <v>0</v>
      </c>
      <c r="CE154" s="1">
        <v>1</v>
      </c>
      <c r="CF154" s="1">
        <v>-1</v>
      </c>
      <c r="CG154" s="1">
        <v>1</v>
      </c>
      <c r="CH154" s="1" t="s">
        <v>45</v>
      </c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>
        <v>17.48174596071854</v>
      </c>
      <c r="DL154" s="1">
        <v>18.958117580227015</v>
      </c>
      <c r="DM154" s="1">
        <v>22.132209937751206</v>
      </c>
      <c r="DN154" s="1">
        <v>21.139142380885076</v>
      </c>
      <c r="DO154" s="1">
        <v>19.71244077776973</v>
      </c>
      <c r="DP154" s="1">
        <v>20.42967622225617</v>
      </c>
      <c r="DQ154" s="1">
        <v>16.4738352685182</v>
      </c>
      <c r="DR154" s="1">
        <v>15.476677355650015</v>
      </c>
      <c r="DS154" s="1"/>
    </row>
    <row r="155" spans="1:12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</row>
    <row r="156" spans="1:12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</row>
    <row r="157" spans="1:12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5" t="s">
        <v>60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 t="s">
        <v>44</v>
      </c>
      <c r="AA157" s="1" t="s">
        <v>44</v>
      </c>
      <c r="AB157" s="1" t="s">
        <v>44</v>
      </c>
      <c r="AC157" s="1" t="s">
        <v>44</v>
      </c>
      <c r="AD157" s="1" t="s">
        <v>44</v>
      </c>
      <c r="AE157" s="1" t="s">
        <v>44</v>
      </c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</row>
    <row r="158" spans="1:12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>
        <v>-1</v>
      </c>
      <c r="P158" s="1">
        <v>-1</v>
      </c>
      <c r="Q158" s="1">
        <v>1</v>
      </c>
      <c r="R158" s="1">
        <v>1</v>
      </c>
      <c r="S158" s="1">
        <v>-1</v>
      </c>
      <c r="T158" s="1">
        <v>0</v>
      </c>
      <c r="U158" s="1" t="s">
        <v>45</v>
      </c>
      <c r="V158" s="1"/>
      <c r="W158" s="1"/>
      <c r="X158" s="1"/>
      <c r="Y158" s="1"/>
      <c r="Z158" s="1">
        <f>MMULT(O158:T169,Z147:AE152)</f>
        <v>0</v>
      </c>
      <c r="AA158" s="1">
        <v>8.201152584614963</v>
      </c>
      <c r="AB158" s="1">
        <v>-7.265379184524075</v>
      </c>
      <c r="AC158" s="1">
        <v>1.6272558269248503</v>
      </c>
      <c r="AD158" s="1">
        <v>-7.037518265222394</v>
      </c>
      <c r="AE158" s="1">
        <v>3.7749984077993677</v>
      </c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2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</row>
    <row r="159" spans="1:12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>
        <v>1</v>
      </c>
      <c r="P159" s="1">
        <v>0</v>
      </c>
      <c r="Q159" s="1">
        <v>1</v>
      </c>
      <c r="R159" s="1">
        <v>0</v>
      </c>
      <c r="S159" s="1">
        <v>1</v>
      </c>
      <c r="T159" s="1">
        <v>0</v>
      </c>
      <c r="U159" s="1" t="s">
        <v>45</v>
      </c>
      <c r="V159" s="1"/>
      <c r="W159" s="1"/>
      <c r="X159" s="1"/>
      <c r="Y159" s="1"/>
      <c r="Z159" s="1">
        <v>-4.515342259679311</v>
      </c>
      <c r="AA159" s="1">
        <v>0.6219710566425558</v>
      </c>
      <c r="AB159" s="1">
        <v>-5.864378565758815</v>
      </c>
      <c r="AC159" s="1">
        <v>-4.399553781700409</v>
      </c>
      <c r="AD159" s="1">
        <v>-5.766916417649402</v>
      </c>
      <c r="AE159" s="1">
        <v>-1.0059751654653288</v>
      </c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</row>
    <row r="160" spans="1:12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>
        <v>-1</v>
      </c>
      <c r="P160" s="1">
        <v>1</v>
      </c>
      <c r="Q160" s="1">
        <v>-1</v>
      </c>
      <c r="R160" s="1">
        <v>1</v>
      </c>
      <c r="S160" s="1">
        <v>1</v>
      </c>
      <c r="T160" s="1">
        <v>-1</v>
      </c>
      <c r="U160" s="1" t="s">
        <v>45</v>
      </c>
      <c r="V160" s="1"/>
      <c r="W160" s="1"/>
      <c r="X160" s="1"/>
      <c r="Y160" s="1"/>
      <c r="Z160" s="1">
        <v>1.611239595026066</v>
      </c>
      <c r="AA160" s="1">
        <v>-6.440096407079251</v>
      </c>
      <c r="AB160" s="1">
        <v>6.0537072278444235</v>
      </c>
      <c r="AC160" s="1">
        <v>-1.8154881933184193</v>
      </c>
      <c r="AD160" s="1">
        <v>5.478219913147303</v>
      </c>
      <c r="AE160" s="1">
        <v>-6.907613912383175</v>
      </c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8"/>
      <c r="DP160" s="1"/>
      <c r="DQ160" s="1"/>
      <c r="DR160" s="1"/>
      <c r="DS160" s="1"/>
    </row>
    <row r="161" spans="1:12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>
        <v>0</v>
      </c>
      <c r="P161" s="1">
        <v>0</v>
      </c>
      <c r="Q161" s="1">
        <v>0</v>
      </c>
      <c r="R161" s="1">
        <v>-1</v>
      </c>
      <c r="S161" s="1">
        <v>0</v>
      </c>
      <c r="T161" s="1">
        <v>-1</v>
      </c>
      <c r="U161" s="1" t="s">
        <v>45</v>
      </c>
      <c r="V161" s="1"/>
      <c r="W161" s="1"/>
      <c r="X161" s="1"/>
      <c r="Y161" s="1"/>
      <c r="Z161" s="1">
        <v>-1.6121095074062985</v>
      </c>
      <c r="AA161" s="1">
        <v>-4.822250045217736</v>
      </c>
      <c r="AB161" s="1">
        <v>-3.2564659923125436</v>
      </c>
      <c r="AC161" s="1">
        <v>-3.676204052630616</v>
      </c>
      <c r="AD161" s="1">
        <v>-3.098391406007478</v>
      </c>
      <c r="AE161" s="1">
        <v>-2.064830508218999</v>
      </c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 cm="1">
        <f t="array" ref="CL161">_xlfn.ANCHORARRAY(CL52)+_xlfn.ANCHORARRAY(DK149)</f>
        <v>0</v>
      </c>
      <c r="CM161" s="1">
        <v>-16.929266626308593</v>
      </c>
      <c r="CN161" s="1">
        <v>5.410539466793824</v>
      </c>
      <c r="CO161" s="1">
        <v>4.2444353535812755</v>
      </c>
      <c r="CP161" s="1">
        <v>-8.003756353467772</v>
      </c>
      <c r="CQ161" s="1">
        <v>-11.796508952676628</v>
      </c>
      <c r="CR161" s="1">
        <v>1.2113216100580106</v>
      </c>
      <c r="CS161" s="1">
        <v>1.8090566414714964</v>
      </c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</row>
    <row r="162" spans="1:12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>
        <v>-1</v>
      </c>
      <c r="P162" s="1">
        <v>0</v>
      </c>
      <c r="Q162" s="1">
        <v>0</v>
      </c>
      <c r="R162" s="1">
        <v>1</v>
      </c>
      <c r="S162" s="1">
        <v>-1</v>
      </c>
      <c r="T162" s="1">
        <v>0</v>
      </c>
      <c r="U162" s="1" t="s">
        <v>45</v>
      </c>
      <c r="V162" s="1"/>
      <c r="W162" s="1"/>
      <c r="X162" s="1"/>
      <c r="Y162" s="1"/>
      <c r="Z162" s="1">
        <v>1.9819558336304368</v>
      </c>
      <c r="AA162" s="1">
        <v>6.58219399503408</v>
      </c>
      <c r="AB162" s="1">
        <v>3.1919448259659964</v>
      </c>
      <c r="AC162" s="1">
        <v>6.756426714095895</v>
      </c>
      <c r="AD162" s="1">
        <v>3.1987151284419464</v>
      </c>
      <c r="AE162" s="1">
        <v>5.297576296019859</v>
      </c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>
        <v>24.049388046648826</v>
      </c>
      <c r="CM162" s="1">
        <v>8.717314931741758</v>
      </c>
      <c r="CN162" s="1">
        <v>22.351599965838354</v>
      </c>
      <c r="CO162" s="1">
        <v>20.72666001927907</v>
      </c>
      <c r="CP162" s="1">
        <v>14.186978542630184</v>
      </c>
      <c r="CQ162" s="1">
        <v>11.04586552655779</v>
      </c>
      <c r="CR162" s="1">
        <v>17.86608500520988</v>
      </c>
      <c r="CS162" s="1">
        <v>16.59586303618074</v>
      </c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</row>
    <row r="163" spans="1:12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>
        <v>0</v>
      </c>
      <c r="P163" s="1">
        <v>1</v>
      </c>
      <c r="Q163" s="1">
        <v>0</v>
      </c>
      <c r="R163" s="1">
        <v>1</v>
      </c>
      <c r="S163" s="1">
        <v>1</v>
      </c>
      <c r="T163" s="1">
        <v>1</v>
      </c>
      <c r="U163" s="1" t="s">
        <v>45</v>
      </c>
      <c r="V163" s="1"/>
      <c r="W163" s="1"/>
      <c r="X163" s="1"/>
      <c r="Y163" s="1"/>
      <c r="Z163" s="1">
        <v>3.1438686852409274</v>
      </c>
      <c r="AA163" s="1">
        <v>1.3835405558295273</v>
      </c>
      <c r="AB163" s="1">
        <v>5.487109466391431</v>
      </c>
      <c r="AC163" s="1">
        <v>2.1355009222738506</v>
      </c>
      <c r="AD163" s="1">
        <v>5.189667799977391</v>
      </c>
      <c r="AE163" s="1">
        <v>0.4502949704632586</v>
      </c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>
        <v>-18.40443421724996</v>
      </c>
      <c r="CM163" s="1">
        <v>-6.171499777414024</v>
      </c>
      <c r="CN163" s="1">
        <v>-16.19465839851473</v>
      </c>
      <c r="CO163" s="1">
        <v>-14.2126368263844</v>
      </c>
      <c r="CP163" s="1">
        <v>-13.423693791722844</v>
      </c>
      <c r="CQ163" s="1">
        <v>-11.027322776242665</v>
      </c>
      <c r="CR163" s="1">
        <v>-14.090186774225097</v>
      </c>
      <c r="CS163" s="1">
        <v>-12.641012664170498</v>
      </c>
      <c r="CT163" s="1"/>
      <c r="CU163" s="1"/>
      <c r="CV163" s="1"/>
      <c r="CW163" s="1"/>
      <c r="CX163" s="1"/>
      <c r="CY163" s="1"/>
      <c r="CZ163" s="1"/>
      <c r="DA163" s="2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</row>
    <row r="164" spans="1:12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>
        <v>1</v>
      </c>
      <c r="P164" s="1">
        <v>0</v>
      </c>
      <c r="Q164" s="1">
        <v>1</v>
      </c>
      <c r="R164" s="1">
        <v>1</v>
      </c>
      <c r="S164" s="1">
        <v>1</v>
      </c>
      <c r="T164" s="1">
        <v>0</v>
      </c>
      <c r="U164" s="1" t="s">
        <v>45</v>
      </c>
      <c r="V164" s="1"/>
      <c r="W164" s="1"/>
      <c r="X164" s="1"/>
      <c r="Y164" s="1"/>
      <c r="Z164" s="1">
        <v>-3.9032327522730133</v>
      </c>
      <c r="AA164" s="1">
        <v>4.4442211018602915</v>
      </c>
      <c r="AB164" s="1">
        <v>-3.6079125734462716</v>
      </c>
      <c r="AC164" s="1">
        <v>-1.7233497290697937</v>
      </c>
      <c r="AD164" s="1">
        <v>-3.668525011641924</v>
      </c>
      <c r="AE164" s="1">
        <v>0.058855342753670215</v>
      </c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>
        <v>4.1953698137817</v>
      </c>
      <c r="CM164" s="1">
        <v>10.47881633273131</v>
      </c>
      <c r="CN164" s="1">
        <v>11.768415897468712</v>
      </c>
      <c r="CO164" s="1">
        <v>17.10564356580847</v>
      </c>
      <c r="CP164" s="1">
        <v>9.978619248888798</v>
      </c>
      <c r="CQ164" s="1">
        <v>9.9152318349746</v>
      </c>
      <c r="CR164" s="1">
        <v>3.1569553274890545</v>
      </c>
      <c r="CS164" s="1">
        <v>1.6758475678568128</v>
      </c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</row>
    <row r="165" spans="1:12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>
        <v>-1</v>
      </c>
      <c r="P165" s="1">
        <v>0</v>
      </c>
      <c r="Q165" s="1">
        <v>0</v>
      </c>
      <c r="R165" s="1">
        <v>1</v>
      </c>
      <c r="S165" s="1">
        <v>0</v>
      </c>
      <c r="T165" s="1">
        <v>-1</v>
      </c>
      <c r="U165" s="1" t="s">
        <v>45</v>
      </c>
      <c r="V165" s="1"/>
      <c r="W165" s="1"/>
      <c r="X165" s="1"/>
      <c r="Y165" s="1"/>
      <c r="Z165" s="1">
        <v>-3.066015516263737</v>
      </c>
      <c r="AA165" s="1">
        <v>0.3805280887678566</v>
      </c>
      <c r="AB165" s="1">
        <v>-1.105835978339825</v>
      </c>
      <c r="AC165" s="1">
        <v>-0.594116183196784</v>
      </c>
      <c r="AD165" s="1">
        <v>-1.279649176037545</v>
      </c>
      <c r="AE165" s="1">
        <v>-2.0663077522919036</v>
      </c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>
        <v>-16.618345268211588</v>
      </c>
      <c r="CM165" s="1">
        <v>1.4800618936822159</v>
      </c>
      <c r="CN165" s="1">
        <v>-11.277718228612454</v>
      </c>
      <c r="CO165" s="1">
        <v>-12.37598849645568</v>
      </c>
      <c r="CP165" s="1">
        <v>-0.9262304059839366</v>
      </c>
      <c r="CQ165" s="1">
        <v>-0.6141941236443529</v>
      </c>
      <c r="CR165" s="1">
        <v>-12.547382609697282</v>
      </c>
      <c r="CS165" s="1">
        <v>-11.852817099845877</v>
      </c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</row>
    <row r="166" spans="1:12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>
        <v>-1</v>
      </c>
      <c r="P166" s="1">
        <v>0</v>
      </c>
      <c r="Q166" s="1">
        <v>1</v>
      </c>
      <c r="R166" s="1">
        <v>-1</v>
      </c>
      <c r="S166" s="1">
        <v>0</v>
      </c>
      <c r="T166" s="1">
        <v>1</v>
      </c>
      <c r="U166" s="1" t="s">
        <v>45</v>
      </c>
      <c r="V166" s="1"/>
      <c r="W166" s="1"/>
      <c r="X166" s="1"/>
      <c r="Y166" s="1"/>
      <c r="Z166" s="1">
        <v>-5.435730464531508</v>
      </c>
      <c r="AA166" s="1">
        <v>-1.8820569952087154</v>
      </c>
      <c r="AB166" s="1">
        <v>-8.547667695070274</v>
      </c>
      <c r="AC166" s="1">
        <v>-4.265855408693147</v>
      </c>
      <c r="AD166" s="1">
        <v>-8.143024683267436</v>
      </c>
      <c r="AE166" s="1">
        <v>1.0308018536056291</v>
      </c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>
        <v>17.670570250555038</v>
      </c>
      <c r="CM166" s="1">
        <v>20.307244611683576</v>
      </c>
      <c r="CN166" s="1">
        <v>24.07935809525386</v>
      </c>
      <c r="CO166" s="1">
        <v>24.100711410009318</v>
      </c>
      <c r="CP166" s="1">
        <v>21.483612461467573</v>
      </c>
      <c r="CQ166" s="1">
        <v>22.994318695651206</v>
      </c>
      <c r="CR166" s="1">
        <v>16.87132104623671</v>
      </c>
      <c r="CS166" s="1">
        <v>15.751586620650615</v>
      </c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</row>
    <row r="167" spans="1:12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>
        <v>0</v>
      </c>
      <c r="P167" s="1">
        <v>0</v>
      </c>
      <c r="Q167" s="1">
        <v>0</v>
      </c>
      <c r="R167" s="1">
        <v>-1</v>
      </c>
      <c r="S167" s="1">
        <v>1</v>
      </c>
      <c r="T167" s="1">
        <v>-1</v>
      </c>
      <c r="U167" s="1" t="s">
        <v>45</v>
      </c>
      <c r="V167" s="1"/>
      <c r="W167" s="1"/>
      <c r="X167" s="1"/>
      <c r="Y167" s="1"/>
      <c r="Z167" s="1">
        <v>-5.660080857300472</v>
      </c>
      <c r="AA167" s="1">
        <v>-10.023915951483959</v>
      </c>
      <c r="AB167" s="1">
        <v>-6.554246796618365</v>
      </c>
      <c r="AC167" s="1">
        <v>-10.026746949923295</v>
      </c>
      <c r="AD167" s="1">
        <v>-6.576755710486969</v>
      </c>
      <c r="AE167" s="1">
        <v>-8.42871455653076</v>
      </c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</row>
    <row r="168" spans="1:12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>
        <v>1</v>
      </c>
      <c r="P168" s="1">
        <v>1</v>
      </c>
      <c r="Q168" s="1">
        <v>0</v>
      </c>
      <c r="R168" s="1">
        <v>0</v>
      </c>
      <c r="S168" s="1">
        <v>-1</v>
      </c>
      <c r="T168" s="1">
        <v>0</v>
      </c>
      <c r="U168" s="1" t="s">
        <v>45</v>
      </c>
      <c r="V168" s="1"/>
      <c r="W168" s="1"/>
      <c r="X168" s="1"/>
      <c r="Y168" s="1"/>
      <c r="Z168" s="1">
        <v>12.30582690129301</v>
      </c>
      <c r="AA168" s="1">
        <v>9.406344279594117</v>
      </c>
      <c r="AB168" s="1">
        <v>11.1885070533429</v>
      </c>
      <c r="AC168" s="1">
        <v>13.43070290005599</v>
      </c>
      <c r="AD168" s="1">
        <v>11.42604558497392</v>
      </c>
      <c r="AE168" s="1">
        <v>13.244370819378688</v>
      </c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3" t="s">
        <v>61</v>
      </c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</row>
    <row r="169" spans="1:12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>
        <v>1</v>
      </c>
      <c r="P169" s="1">
        <v>0</v>
      </c>
      <c r="Q169" s="1">
        <v>0</v>
      </c>
      <c r="R169" s="1">
        <v>1</v>
      </c>
      <c r="S169" s="1">
        <v>-1</v>
      </c>
      <c r="T169" s="1">
        <v>0</v>
      </c>
      <c r="U169" s="1" t="s">
        <v>45</v>
      </c>
      <c r="V169" s="1"/>
      <c r="W169" s="1"/>
      <c r="X169" s="1"/>
      <c r="Y169" s="1"/>
      <c r="Z169" s="1">
        <v>7.3382058809705075</v>
      </c>
      <c r="AA169" s="1">
        <v>11.465637907933838</v>
      </c>
      <c r="AB169" s="1">
        <v>7.916548767270734</v>
      </c>
      <c r="AC169" s="1">
        <v>11.297067185750695</v>
      </c>
      <c r="AD169" s="1">
        <v>7.954796292531993</v>
      </c>
      <c r="AE169" s="1">
        <v>9.559852817041664</v>
      </c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>
        <f>NORMALIZE(CL161:CL166)</f>
        <v>0</v>
      </c>
      <c r="CM169" s="1">
        <f>NORMALIZE(CM161:CM166)</f>
        <v>0</v>
      </c>
      <c r="CN169" s="1">
        <f>NORMALIZE(CN161:CN166)</f>
        <v>0</v>
      </c>
      <c r="CO169" s="1">
        <f>NORMALIZE(CO161:CO166)</f>
        <v>0</v>
      </c>
      <c r="CP169" s="1">
        <f>NORMALIZE(CP161:CP166)</f>
        <v>0</v>
      </c>
      <c r="CQ169" s="1">
        <f>NORMALIZE(CQ161:CQ166)</f>
        <v>0</v>
      </c>
      <c r="CR169" s="1">
        <f>NORMALIZE(CR161:CR166)</f>
        <v>0</v>
      </c>
      <c r="CS169" s="1">
        <f>NORMALIZE(CS161:CS166)</f>
        <v>0</v>
      </c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</row>
    <row r="170" spans="1:12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>
        <v>1.1209655001134764</v>
      </c>
      <c r="CM170" s="1">
        <v>0.4344385522969642</v>
      </c>
      <c r="CN170" s="1">
        <v>0.9692195992687047</v>
      </c>
      <c r="CO170" s="1">
        <v>0.8398010076603621</v>
      </c>
      <c r="CP170" s="1">
        <v>0.7608121516668284</v>
      </c>
      <c r="CQ170" s="1">
        <v>0.5561533799698684</v>
      </c>
      <c r="CR170" s="1">
        <v>1.1481268363262185</v>
      </c>
      <c r="CS170" s="1">
        <v>1.1564201968034027</v>
      </c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</row>
    <row r="171" spans="1:12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3" t="s">
        <v>65</v>
      </c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>
        <v>-1.2528184625444725</v>
      </c>
      <c r="CM171" s="1">
        <v>-0.6930535193968717</v>
      </c>
      <c r="CN171" s="1">
        <v>-1.318766665943994</v>
      </c>
      <c r="CO171" s="1">
        <v>-1.236994826216634</v>
      </c>
      <c r="CP171" s="1">
        <v>-1.2777883379963024</v>
      </c>
      <c r="CQ171" s="1">
        <v>-1.0535495544293079</v>
      </c>
      <c r="CR171" s="1">
        <v>-1.1757710403252934</v>
      </c>
      <c r="CS171" s="1">
        <v>-1.1426320886974175</v>
      </c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</row>
    <row r="172" spans="1:12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 cm="1">
        <f t="array" ref="Z172">RELU(_xlfn.ANCHORARRAY(Z158))</f>
        <v>0</v>
      </c>
      <c r="AA172" s="1">
        <v>8.201152584614963</v>
      </c>
      <c r="AB172" s="1">
        <v>0</v>
      </c>
      <c r="AC172" s="1">
        <v>1.6272558269248503</v>
      </c>
      <c r="AD172" s="1">
        <v>0</v>
      </c>
      <c r="AE172" s="1">
        <v>3.7749984077993677</v>
      </c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>
        <v>0.01083812966053526</v>
      </c>
      <c r="CM172" s="1">
        <v>0.5678325734255889</v>
      </c>
      <c r="CN172" s="1">
        <v>0.341034638700899</v>
      </c>
      <c r="CO172" s="1">
        <v>0.6245673720727255</v>
      </c>
      <c r="CP172" s="1">
        <v>0.45009304953814033</v>
      </c>
      <c r="CQ172" s="1">
        <v>0.4737011149818906</v>
      </c>
      <c r="CR172" s="1">
        <v>0.07846153051777131</v>
      </c>
      <c r="CS172" s="1">
        <v>-0.0168206109257771</v>
      </c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</row>
    <row r="173" spans="1:12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>
        <v>0</v>
      </c>
      <c r="AA173" s="1">
        <v>0.6219710566425558</v>
      </c>
      <c r="AB173" s="1">
        <v>0</v>
      </c>
      <c r="AC173" s="1">
        <v>0</v>
      </c>
      <c r="AD173" s="1">
        <v>0</v>
      </c>
      <c r="AE173" s="1">
        <v>0</v>
      </c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>
        <v>-1.1529502038809116</v>
      </c>
      <c r="CM173" s="1">
        <v>-0.1136202140087481</v>
      </c>
      <c r="CN173" s="1">
        <v>-1.026912357562854</v>
      </c>
      <c r="CO173" s="1">
        <v>-1.1278242376743939</v>
      </c>
      <c r="CP173" s="1">
        <v>-0.35505329303994904</v>
      </c>
      <c r="CQ173" s="1">
        <v>-0.29416475154439703</v>
      </c>
      <c r="CR173" s="1">
        <v>-1.063576496894774</v>
      </c>
      <c r="CS173" s="1">
        <v>-1.080652045680702</v>
      </c>
      <c r="CT173" s="1"/>
      <c r="CU173" s="1"/>
      <c r="CV173" s="1"/>
      <c r="CW173" s="1"/>
      <c r="CX173" s="1"/>
      <c r="CY173" s="1"/>
      <c r="CZ173" s="1"/>
      <c r="DA173" s="1"/>
      <c r="DB173" s="1"/>
      <c r="DC173" s="7"/>
      <c r="DD173" s="7"/>
      <c r="DE173" s="7"/>
      <c r="DF173" s="7"/>
      <c r="DG173" s="7"/>
      <c r="DH173" s="7"/>
      <c r="DI173" s="7"/>
      <c r="DJ173" s="7"/>
      <c r="DK173" s="1"/>
      <c r="DL173" s="1"/>
      <c r="DM173" s="1"/>
      <c r="DN173" s="1"/>
      <c r="DO173" s="1"/>
      <c r="DP173" s="1"/>
      <c r="DQ173" s="1"/>
      <c r="DR173" s="1"/>
      <c r="DS173" s="1"/>
    </row>
    <row r="174" spans="1:12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>
        <v>1.611239595026066</v>
      </c>
      <c r="AA174" s="1">
        <v>0</v>
      </c>
      <c r="AB174" s="1">
        <v>6.0537072278444235</v>
      </c>
      <c r="AC174" s="1">
        <v>0</v>
      </c>
      <c r="AD174" s="1">
        <v>5.478219913147303</v>
      </c>
      <c r="AE174" s="1">
        <v>0</v>
      </c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>
        <v>0.7642971348727637</v>
      </c>
      <c r="CM174" s="1">
        <v>1.3121144506737281</v>
      </c>
      <c r="CN174" s="1">
        <v>1.0717739595997715</v>
      </c>
      <c r="CO174" s="1">
        <v>1.0403550114374924</v>
      </c>
      <c r="CP174" s="1">
        <v>1.2995502634993035</v>
      </c>
      <c r="CQ174" s="1">
        <v>1.4275028136799333</v>
      </c>
      <c r="CR174" s="1">
        <v>1.0757864247793718</v>
      </c>
      <c r="CS174" s="1">
        <v>1.0900302157872144</v>
      </c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</row>
    <row r="175" spans="1:12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5" t="s">
        <v>62</v>
      </c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>
        <v>1</v>
      </c>
      <c r="CM175" s="1">
        <v>1</v>
      </c>
      <c r="CN175" s="1">
        <v>1</v>
      </c>
      <c r="CO175" s="1">
        <v>1</v>
      </c>
      <c r="CP175" s="1">
        <v>1</v>
      </c>
      <c r="CQ175" s="1">
        <v>1</v>
      </c>
      <c r="CR175" s="1">
        <v>1</v>
      </c>
      <c r="CS175" s="1">
        <v>1</v>
      </c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</row>
    <row r="176" spans="1:12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>
        <v>1.9819558336304368</v>
      </c>
      <c r="AA176" s="1">
        <v>6.58219399503408</v>
      </c>
      <c r="AB176" s="1">
        <v>3.1919448259659964</v>
      </c>
      <c r="AC176" s="1">
        <v>6.756426714095895</v>
      </c>
      <c r="AD176" s="1">
        <v>3.1987151284419464</v>
      </c>
      <c r="AE176" s="1">
        <v>5.297576296019859</v>
      </c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3" t="s">
        <v>63</v>
      </c>
      <c r="CB176" s="1"/>
      <c r="CC176" s="1"/>
      <c r="CD176" s="1"/>
      <c r="CE176" s="1"/>
      <c r="CF176" s="1"/>
      <c r="CG176" s="3" t="s">
        <v>64</v>
      </c>
      <c r="CH176" s="1"/>
      <c r="CI176" s="1"/>
      <c r="CJ176" s="1"/>
      <c r="CK176" s="1"/>
      <c r="CL176" s="1" t="s">
        <v>44</v>
      </c>
      <c r="CM176" s="1" t="s">
        <v>44</v>
      </c>
      <c r="CN176" s="1" t="s">
        <v>44</v>
      </c>
      <c r="CO176" s="1" t="s">
        <v>44</v>
      </c>
      <c r="CP176" s="1" t="s">
        <v>44</v>
      </c>
      <c r="CQ176" s="1" t="s">
        <v>44</v>
      </c>
      <c r="CR176" s="1" t="s">
        <v>44</v>
      </c>
      <c r="CS176" s="1" t="s">
        <v>44</v>
      </c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</row>
    <row r="177" spans="1:12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>
        <v>3.1438686852409274</v>
      </c>
      <c r="AA177" s="1">
        <v>1.3835405558295273</v>
      </c>
      <c r="AB177" s="1">
        <v>5.487109466391431</v>
      </c>
      <c r="AC177" s="1">
        <v>2.1355009222738506</v>
      </c>
      <c r="AD177" s="1">
        <v>5.189667799977391</v>
      </c>
      <c r="AE177" s="1">
        <v>0.4502949704632586</v>
      </c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>
        <v>1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2</v>
      </c>
      <c r="CH177" s="1" t="s">
        <v>45</v>
      </c>
      <c r="CI177" s="1"/>
      <c r="CJ177" s="1"/>
      <c r="CK177" s="1"/>
      <c r="CL177" s="1">
        <f>MMULT($CA177:$CG182,CL169:CS175)</f>
        <v>0</v>
      </c>
      <c r="CM177" s="1">
        <v>0.4922881570093387</v>
      </c>
      <c r="CN177" s="1">
        <v>1.9636508259374728</v>
      </c>
      <c r="CO177" s="1">
        <v>1.8600956727204474</v>
      </c>
      <c r="CP177" s="1">
        <v>1.1223861663319794</v>
      </c>
      <c r="CQ177" s="1">
        <v>0.8903569973420125</v>
      </c>
      <c r="CR177" s="1">
        <v>1.9369727455967058</v>
      </c>
      <c r="CS177" s="1">
        <v>1.9936543327132796</v>
      </c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</row>
    <row r="178" spans="1:12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>
        <v>0</v>
      </c>
      <c r="AA178" s="1">
        <v>4.4442211018602915</v>
      </c>
      <c r="AB178" s="1">
        <v>0</v>
      </c>
      <c r="AC178" s="1">
        <v>0</v>
      </c>
      <c r="AD178" s="1">
        <v>0</v>
      </c>
      <c r="AE178" s="1">
        <v>0.058855342753670215</v>
      </c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>
        <v>0</v>
      </c>
      <c r="CB178" s="1">
        <v>2</v>
      </c>
      <c r="CC178" s="1">
        <v>0</v>
      </c>
      <c r="CD178" s="1">
        <v>0</v>
      </c>
      <c r="CE178" s="1">
        <v>0</v>
      </c>
      <c r="CF178" s="1">
        <v>0</v>
      </c>
      <c r="CG178" s="1">
        <v>3</v>
      </c>
      <c r="CH178" s="1" t="s">
        <v>45</v>
      </c>
      <c r="CI178" s="1"/>
      <c r="CJ178" s="1"/>
      <c r="CK178" s="1"/>
      <c r="CL178" s="1">
        <v>5.241931000226953</v>
      </c>
      <c r="CM178" s="1">
        <v>3.8688771045939285</v>
      </c>
      <c r="CN178" s="1">
        <v>4.938439198537409</v>
      </c>
      <c r="CO178" s="1">
        <v>4.679602015320724</v>
      </c>
      <c r="CP178" s="1">
        <v>4.521624303333657</v>
      </c>
      <c r="CQ178" s="1">
        <v>4.112306759939736</v>
      </c>
      <c r="CR178" s="1">
        <v>5.296253672652437</v>
      </c>
      <c r="CS178" s="1">
        <v>5.312840393606805</v>
      </c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</row>
    <row r="179" spans="1:12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>
        <v>0</v>
      </c>
      <c r="AA179" s="1">
        <v>0.3805280887678566</v>
      </c>
      <c r="AB179" s="1">
        <v>0</v>
      </c>
      <c r="AC179" s="1">
        <v>0</v>
      </c>
      <c r="AD179" s="1">
        <v>0</v>
      </c>
      <c r="AE179" s="1">
        <v>0</v>
      </c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>
        <v>0</v>
      </c>
      <c r="CB179" s="1">
        <v>0</v>
      </c>
      <c r="CC179" s="1">
        <v>4</v>
      </c>
      <c r="CD179" s="1">
        <v>0</v>
      </c>
      <c r="CE179" s="1">
        <v>0</v>
      </c>
      <c r="CF179" s="1">
        <v>0</v>
      </c>
      <c r="CG179" s="1">
        <v>0</v>
      </c>
      <c r="CH179" s="1" t="s">
        <v>45</v>
      </c>
      <c r="CI179" s="1"/>
      <c r="CJ179" s="1"/>
      <c r="CK179" s="1"/>
      <c r="CL179" s="1">
        <v>-5.01127385017789</v>
      </c>
      <c r="CM179" s="1">
        <v>-2.7722140775874866</v>
      </c>
      <c r="CN179" s="1">
        <v>-5.275066663775976</v>
      </c>
      <c r="CO179" s="1">
        <v>-4.947979304866536</v>
      </c>
      <c r="CP179" s="1">
        <v>-5.11115335198521</v>
      </c>
      <c r="CQ179" s="1">
        <v>-4.2141982177172315</v>
      </c>
      <c r="CR179" s="1">
        <v>-4.703084161301174</v>
      </c>
      <c r="CS179" s="1">
        <v>-4.57052835478967</v>
      </c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</row>
    <row r="180" spans="1:12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1.0308018536056291</v>
      </c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>
        <v>0</v>
      </c>
      <c r="CB180" s="1">
        <v>0</v>
      </c>
      <c r="CC180" s="1">
        <v>0</v>
      </c>
      <c r="CD180" s="1">
        <v>5</v>
      </c>
      <c r="CE180" s="1">
        <v>0</v>
      </c>
      <c r="CF180" s="1">
        <v>0</v>
      </c>
      <c r="CG180" s="1">
        <v>1</v>
      </c>
      <c r="CH180" s="1" t="s">
        <v>45</v>
      </c>
      <c r="CI180" s="1"/>
      <c r="CJ180" s="1"/>
      <c r="CK180" s="1"/>
      <c r="CL180" s="1">
        <v>1.0541906483026764</v>
      </c>
      <c r="CM180" s="1">
        <v>3.8391628671279445</v>
      </c>
      <c r="CN180" s="1">
        <v>2.705173193504495</v>
      </c>
      <c r="CO180" s="1">
        <v>4.122836860363627</v>
      </c>
      <c r="CP180" s="1">
        <v>3.250465247690702</v>
      </c>
      <c r="CQ180" s="1">
        <v>3.3685055749094532</v>
      </c>
      <c r="CR180" s="1">
        <v>1.3923076525888565</v>
      </c>
      <c r="CS180" s="1">
        <v>0.9158969453711145</v>
      </c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</row>
    <row r="181" spans="1:12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>
        <v>0</v>
      </c>
      <c r="CB181" s="1">
        <v>0</v>
      </c>
      <c r="CC181" s="1">
        <v>0</v>
      </c>
      <c r="CD181" s="1">
        <v>0</v>
      </c>
      <c r="CE181" s="1">
        <v>4</v>
      </c>
      <c r="CF181" s="1">
        <v>0</v>
      </c>
      <c r="CG181" s="1">
        <v>4</v>
      </c>
      <c r="CH181" s="1" t="s">
        <v>45</v>
      </c>
      <c r="CI181" s="1"/>
      <c r="CJ181" s="1"/>
      <c r="CK181" s="1"/>
      <c r="CL181" s="1">
        <v>-0.6118008155236465</v>
      </c>
      <c r="CM181" s="1">
        <v>3.5455191439650076</v>
      </c>
      <c r="CN181" s="1">
        <v>-0.10764943025141616</v>
      </c>
      <c r="CO181" s="1">
        <v>-0.5112969506975755</v>
      </c>
      <c r="CP181" s="1">
        <v>2.579786827840204</v>
      </c>
      <c r="CQ181" s="1">
        <v>2.823340993822412</v>
      </c>
      <c r="CR181" s="1">
        <v>-0.2543059875790963</v>
      </c>
      <c r="CS181" s="1">
        <v>-0.3226081827228082</v>
      </c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</row>
    <row r="182" spans="1:12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>
        <v>12.30582690129301</v>
      </c>
      <c r="AA182" s="1">
        <v>9.406344279594117</v>
      </c>
      <c r="AB182" s="1">
        <v>11.1885070533429</v>
      </c>
      <c r="AC182" s="1">
        <v>13.43070290005599</v>
      </c>
      <c r="AD182" s="1">
        <v>11.42604558497392</v>
      </c>
      <c r="AE182" s="1">
        <v>13.244370819378688</v>
      </c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5</v>
      </c>
      <c r="CG182" s="1">
        <v>2</v>
      </c>
      <c r="CH182" s="1" t="s">
        <v>45</v>
      </c>
      <c r="CI182" s="1"/>
      <c r="CJ182" s="1"/>
      <c r="CK182" s="1"/>
      <c r="CL182" s="1">
        <v>5.821485674363819</v>
      </c>
      <c r="CM182" s="1">
        <v>8.56057225336864</v>
      </c>
      <c r="CN182" s="1">
        <v>7.3588697979988575</v>
      </c>
      <c r="CO182" s="1">
        <v>7.201775057187462</v>
      </c>
      <c r="CP182" s="1">
        <v>8.497751317496517</v>
      </c>
      <c r="CQ182" s="1">
        <v>9.137514068399666</v>
      </c>
      <c r="CR182" s="1">
        <v>7.378932123896859</v>
      </c>
      <c r="CS182" s="1">
        <v>7.450151078936072</v>
      </c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</row>
    <row r="183" spans="1:12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>
        <v>7.3382058809705075</v>
      </c>
      <c r="AA183" s="1">
        <v>11.465637907933838</v>
      </c>
      <c r="AB183" s="1">
        <v>7.916548767270734</v>
      </c>
      <c r="AC183" s="1">
        <v>11.297067185750695</v>
      </c>
      <c r="AD183" s="1">
        <v>7.954796292531993</v>
      </c>
      <c r="AE183" s="1">
        <v>9.559852817041664</v>
      </c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 t="s">
        <v>44</v>
      </c>
      <c r="CM183" s="1" t="s">
        <v>44</v>
      </c>
      <c r="CN183" s="1" t="s">
        <v>44</v>
      </c>
      <c r="CO183" s="1" t="s">
        <v>44</v>
      </c>
      <c r="CP183" s="1" t="s">
        <v>44</v>
      </c>
      <c r="CQ183" s="1" t="s">
        <v>44</v>
      </c>
      <c r="CR183" s="1" t="s">
        <v>44</v>
      </c>
      <c r="CS183" s="1" t="s">
        <v>44</v>
      </c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</row>
    <row r="184" spans="1:12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>
        <v>1</v>
      </c>
      <c r="AA184" s="1">
        <v>1</v>
      </c>
      <c r="AB184" s="1">
        <v>1</v>
      </c>
      <c r="AC184" s="1">
        <v>1</v>
      </c>
      <c r="AD184" s="1">
        <v>1</v>
      </c>
      <c r="AE184" s="1">
        <v>1</v>
      </c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</row>
    <row r="185" spans="1:123">
      <c r="A185" s="1"/>
      <c r="B185" s="1"/>
      <c r="C185" s="1"/>
      <c r="D185" s="1"/>
      <c r="E185" s="1"/>
      <c r="F185" s="1"/>
      <c r="G185" s="1"/>
      <c r="H185" s="5" t="s">
        <v>60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 t="s">
        <v>44</v>
      </c>
      <c r="AA185" s="1" t="s">
        <v>44</v>
      </c>
      <c r="AB185" s="1" t="s">
        <v>44</v>
      </c>
      <c r="AC185" s="1" t="s">
        <v>44</v>
      </c>
      <c r="AD185" s="1" t="s">
        <v>44</v>
      </c>
      <c r="AE185" s="1" t="s">
        <v>44</v>
      </c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</row>
    <row r="186" spans="1:123">
      <c r="A186" s="1"/>
      <c r="B186" s="1"/>
      <c r="C186" s="1"/>
      <c r="D186" s="1"/>
      <c r="E186" s="1"/>
      <c r="F186" s="1"/>
      <c r="G186" s="1"/>
      <c r="H186" s="1">
        <v>0</v>
      </c>
      <c r="I186" s="1">
        <v>1</v>
      </c>
      <c r="J186" s="1">
        <v>0</v>
      </c>
      <c r="K186" s="1">
        <v>0</v>
      </c>
      <c r="L186" s="1">
        <v>0</v>
      </c>
      <c r="M186" s="1">
        <v>0</v>
      </c>
      <c r="N186" s="1">
        <v>1</v>
      </c>
      <c r="O186" s="1">
        <v>-1</v>
      </c>
      <c r="P186" s="1">
        <v>1</v>
      </c>
      <c r="Q186" s="1">
        <v>-1</v>
      </c>
      <c r="R186" s="1">
        <v>0</v>
      </c>
      <c r="S186" s="1">
        <v>-1</v>
      </c>
      <c r="T186" s="1">
        <v>0</v>
      </c>
      <c r="U186" s="1" t="s">
        <v>45</v>
      </c>
      <c r="V186" s="1"/>
      <c r="W186" s="1"/>
      <c r="X186" s="1"/>
      <c r="Y186" s="1"/>
      <c r="Z186" s="3">
        <f>MMULT(H186:T190,Z172:AE184)</f>
        <v>0</v>
      </c>
      <c r="AA186" s="3">
        <v>-6.779973838198847</v>
      </c>
      <c r="AB186" s="3">
        <v>-7.916548767270734</v>
      </c>
      <c r="AC186" s="3">
        <v>-11.297067185750695</v>
      </c>
      <c r="AD186" s="3">
        <v>-7.954796292531993</v>
      </c>
      <c r="AE186" s="3">
        <v>-8.470195620682365</v>
      </c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</row>
    <row r="187" spans="1:123">
      <c r="A187" s="1"/>
      <c r="B187" s="1"/>
      <c r="C187" s="1"/>
      <c r="D187" s="1"/>
      <c r="E187" s="1"/>
      <c r="F187" s="1"/>
      <c r="G187" s="1"/>
      <c r="H187" s="1">
        <v>0</v>
      </c>
      <c r="I187" s="1">
        <v>-1</v>
      </c>
      <c r="J187" s="1">
        <v>0</v>
      </c>
      <c r="K187" s="1">
        <v>0</v>
      </c>
      <c r="L187" s="1">
        <v>0</v>
      </c>
      <c r="M187" s="1">
        <v>0</v>
      </c>
      <c r="N187" s="1">
        <v>1</v>
      </c>
      <c r="O187" s="1">
        <v>-1</v>
      </c>
      <c r="P187" s="1">
        <v>1</v>
      </c>
      <c r="Q187" s="1">
        <v>0</v>
      </c>
      <c r="R187" s="1">
        <v>0</v>
      </c>
      <c r="S187" s="1">
        <v>-1</v>
      </c>
      <c r="T187" s="1">
        <v>-1</v>
      </c>
      <c r="U187" s="1" t="s">
        <v>45</v>
      </c>
      <c r="V187" s="1"/>
      <c r="W187" s="1"/>
      <c r="X187" s="1"/>
      <c r="Y187" s="1"/>
      <c r="Z187" s="3">
        <v>-8.338205880970508</v>
      </c>
      <c r="AA187" s="3">
        <v>-9.023915951483959</v>
      </c>
      <c r="AB187" s="3">
        <v>-8.916548767270733</v>
      </c>
      <c r="AC187" s="3">
        <v>-12.297067185750695</v>
      </c>
      <c r="AD187" s="3">
        <v>-8.954796292531993</v>
      </c>
      <c r="AE187" s="3">
        <v>-9.470195620682365</v>
      </c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</row>
    <row r="188" spans="1:123">
      <c r="A188" s="1"/>
      <c r="B188" s="1"/>
      <c r="C188" s="1"/>
      <c r="D188" s="1"/>
      <c r="E188" s="1"/>
      <c r="F188" s="1"/>
      <c r="G188" s="1"/>
      <c r="H188" s="1">
        <v>-1</v>
      </c>
      <c r="I188" s="1">
        <v>1</v>
      </c>
      <c r="J188" s="1">
        <v>0</v>
      </c>
      <c r="K188" s="1">
        <v>1</v>
      </c>
      <c r="L188" s="1">
        <v>1</v>
      </c>
      <c r="M188" s="1">
        <v>-1</v>
      </c>
      <c r="N188" s="1">
        <v>0</v>
      </c>
      <c r="O188" s="1">
        <v>1</v>
      </c>
      <c r="P188" s="1">
        <v>1</v>
      </c>
      <c r="Q188" s="1">
        <v>-1</v>
      </c>
      <c r="R188" s="1">
        <v>0</v>
      </c>
      <c r="S188" s="1">
        <v>1</v>
      </c>
      <c r="T188" s="1">
        <v>0</v>
      </c>
      <c r="U188" s="1" t="s">
        <v>45</v>
      </c>
      <c r="V188" s="1"/>
      <c r="W188" s="1"/>
      <c r="X188" s="1"/>
      <c r="Y188" s="1"/>
      <c r="Z188" s="3">
        <v>6.176293029360017</v>
      </c>
      <c r="AA188" s="3">
        <v>9.46563790793384</v>
      </c>
      <c r="AB188" s="3">
        <v>5.6213841268452995</v>
      </c>
      <c r="AC188" s="3">
        <v>14.290737150647889</v>
      </c>
      <c r="AD188" s="3">
        <v>5.963843620996549</v>
      </c>
      <c r="AE188" s="3">
        <v>11.662937588404525</v>
      </c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</row>
    <row r="189" spans="1:123">
      <c r="A189" s="1"/>
      <c r="B189" s="1"/>
      <c r="C189" s="1"/>
      <c r="D189" s="1"/>
      <c r="E189" s="1"/>
      <c r="F189" s="1"/>
      <c r="G189" s="1"/>
      <c r="H189" s="1">
        <v>1</v>
      </c>
      <c r="I189" s="1">
        <v>1</v>
      </c>
      <c r="J189" s="1">
        <v>1</v>
      </c>
      <c r="K189" s="1">
        <v>1</v>
      </c>
      <c r="L189" s="1">
        <v>-1</v>
      </c>
      <c r="M189" s="1">
        <v>1</v>
      </c>
      <c r="N189" s="1">
        <v>-1</v>
      </c>
      <c r="O189" s="1">
        <v>-1</v>
      </c>
      <c r="P189" s="1">
        <v>1</v>
      </c>
      <c r="Q189" s="1">
        <v>0</v>
      </c>
      <c r="R189" s="1">
        <v>0</v>
      </c>
      <c r="S189" s="1">
        <v>-1</v>
      </c>
      <c r="T189" s="1">
        <v>-1</v>
      </c>
      <c r="U189" s="1" t="s">
        <v>45</v>
      </c>
      <c r="V189" s="1"/>
      <c r="W189" s="1"/>
      <c r="X189" s="1"/>
      <c r="Y189" s="1"/>
      <c r="Z189" s="3">
        <v>-5.565053434333951</v>
      </c>
      <c r="AA189" s="3">
        <v>-13.66591689650902</v>
      </c>
      <c r="AB189" s="3">
        <v>-0.5676768990008769</v>
      </c>
      <c r="AC189" s="3">
        <v>-15.290737150647889</v>
      </c>
      <c r="AD189" s="3">
        <v>-1.4856237078492462</v>
      </c>
      <c r="AE189" s="3">
        <v>-10.660189223946936</v>
      </c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3" t="s">
        <v>50</v>
      </c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</row>
    <row r="190" spans="1:123">
      <c r="A190" s="1"/>
      <c r="B190" s="1"/>
      <c r="C190" s="1"/>
      <c r="D190" s="1"/>
      <c r="E190" s="1"/>
      <c r="F190" s="1"/>
      <c r="G190" s="1"/>
      <c r="H190" s="1">
        <v>0</v>
      </c>
      <c r="I190" s="1">
        <v>-1</v>
      </c>
      <c r="J190" s="1">
        <v>0</v>
      </c>
      <c r="K190" s="1">
        <v>1</v>
      </c>
      <c r="L190" s="1">
        <v>0</v>
      </c>
      <c r="M190" s="1">
        <v>-1</v>
      </c>
      <c r="N190" s="1">
        <v>1</v>
      </c>
      <c r="O190" s="1">
        <v>1</v>
      </c>
      <c r="P190" s="1">
        <v>0</v>
      </c>
      <c r="Q190" s="1">
        <v>1</v>
      </c>
      <c r="R190" s="1">
        <v>0</v>
      </c>
      <c r="S190" s="1">
        <v>1</v>
      </c>
      <c r="T190" s="1">
        <v>-1</v>
      </c>
      <c r="U190" s="1" t="s">
        <v>45</v>
      </c>
      <c r="V190" s="1"/>
      <c r="W190" s="1"/>
      <c r="X190" s="1"/>
      <c r="Y190" s="1"/>
      <c r="Z190" s="3">
        <v>3.19433719572958</v>
      </c>
      <c r="AA190" s="3">
        <v>13.284875486089902</v>
      </c>
      <c r="AB190" s="3">
        <v>1.4294393008793032</v>
      </c>
      <c r="AC190" s="3">
        <v>8.161566263476844</v>
      </c>
      <c r="AD190" s="3">
        <v>1.7651284925546022</v>
      </c>
      <c r="AE190" s="3">
        <v>8.168413189332075</v>
      </c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3" t="s">
        <v>50</v>
      </c>
      <c r="CA190" s="1"/>
      <c r="CB190" s="1" t="s">
        <v>51</v>
      </c>
      <c r="CC190" s="1"/>
      <c r="CD190" s="1"/>
      <c r="CE190" s="1"/>
      <c r="CF190" s="1"/>
      <c r="CG190" s="1"/>
      <c r="CH190" s="1"/>
      <c r="CI190" s="1"/>
      <c r="CJ190" s="1"/>
      <c r="CK190" s="1"/>
      <c r="CL190" s="1" t="s">
        <v>52</v>
      </c>
      <c r="CM190" s="1"/>
      <c r="CN190" s="1"/>
      <c r="CO190" s="1"/>
      <c r="CP190" s="1"/>
      <c r="CQ190" s="1"/>
      <c r="CR190" s="1"/>
      <c r="CS190" s="1"/>
      <c r="CT190" s="1"/>
      <c r="CU190" s="1"/>
      <c r="CV190" s="1">
        <v>0</v>
      </c>
      <c r="CW190" s="1"/>
      <c r="CX190" s="1"/>
      <c r="CY190" s="1"/>
      <c r="CZ190" s="1"/>
      <c r="DA190" s="1" t="s">
        <v>52</v>
      </c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</row>
    <row r="191" spans="1:12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3">
        <v>0</v>
      </c>
      <c r="CA191" s="1"/>
      <c r="CB191" s="1">
        <v>0</v>
      </c>
      <c r="CC191" s="1">
        <v>0</v>
      </c>
      <c r="CD191" s="1">
        <v>1</v>
      </c>
      <c r="CE191" s="1">
        <v>1</v>
      </c>
      <c r="CF191" s="1">
        <v>0</v>
      </c>
      <c r="CG191" s="1">
        <v>1</v>
      </c>
      <c r="CH191" s="1" t="s">
        <v>45</v>
      </c>
      <c r="CI191" s="1"/>
      <c r="CJ191" s="1"/>
      <c r="CK191" s="1"/>
      <c r="CL191" s="1" cm="1">
        <f t="array" ref="CL191">MMULT(CB191:CG196,_xlfn.ANCHORARRAY(CL177))</f>
        <v>0</v>
      </c>
      <c r="CM191" s="1">
        <v>9.627521042909098</v>
      </c>
      <c r="CN191" s="1">
        <v>4.788976327727376</v>
      </c>
      <c r="CO191" s="1">
        <v>6.376632612684554</v>
      </c>
      <c r="CP191" s="1">
        <v>6.637063213202009</v>
      </c>
      <c r="CQ191" s="1">
        <v>8.291821425591888</v>
      </c>
      <c r="CR191" s="1">
        <v>4.0681556151845415</v>
      </c>
      <c r="CS191" s="1">
        <v>3.7955196695175166</v>
      </c>
      <c r="CT191" s="1"/>
      <c r="CU191" s="1"/>
      <c r="CV191" s="1"/>
      <c r="CW191" s="1"/>
      <c r="CX191" s="1"/>
      <c r="CY191" s="1"/>
      <c r="CZ191" s="1"/>
      <c r="DA191" s="1">
        <f>CL191:CS193</f>
        <v>0</v>
      </c>
      <c r="DB191" s="1">
        <v>9.627521042909098</v>
      </c>
      <c r="DC191" s="1">
        <v>4.788976327727376</v>
      </c>
      <c r="DD191" s="1">
        <v>6.376632612684554</v>
      </c>
      <c r="DE191" s="1">
        <v>6.637063213202009</v>
      </c>
      <c r="DF191" s="1">
        <v>8.291821425591888</v>
      </c>
      <c r="DG191" s="1">
        <v>4.0681556151845415</v>
      </c>
      <c r="DH191" s="1">
        <v>3.7955196695175166</v>
      </c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</row>
    <row r="192" spans="1:12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3" t="s">
        <v>65</v>
      </c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>
        <v>1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 t="s">
        <v>45</v>
      </c>
      <c r="CI192" s="1"/>
      <c r="CJ192" s="1"/>
      <c r="CK192" s="1"/>
      <c r="CL192" s="1">
        <v>2.5096679017786085</v>
      </c>
      <c r="CM192" s="1">
        <v>0.4922881570093387</v>
      </c>
      <c r="CN192" s="1">
        <v>1.9636508259374728</v>
      </c>
      <c r="CO192" s="1">
        <v>1.8600956727204474</v>
      </c>
      <c r="CP192" s="1">
        <v>1.1223861663319794</v>
      </c>
      <c r="CQ192" s="1">
        <v>0.8903569973420125</v>
      </c>
      <c r="CR192" s="1">
        <v>1.9369727455967058</v>
      </c>
      <c r="CS192" s="1">
        <v>1.9936543327132796</v>
      </c>
      <c r="CT192" s="1"/>
      <c r="CU192" s="1"/>
      <c r="CV192" s="1"/>
      <c r="CW192" s="1"/>
      <c r="CX192" s="1"/>
      <c r="CY192" s="1"/>
      <c r="CZ192" s="1"/>
      <c r="DA192" s="1">
        <v>2.5096679017786085</v>
      </c>
      <c r="DB192" s="1">
        <v>0.4922881570093387</v>
      </c>
      <c r="DC192" s="1">
        <v>1.9636508259374728</v>
      </c>
      <c r="DD192" s="1">
        <v>1.8600956727204474</v>
      </c>
      <c r="DE192" s="1">
        <v>1.1223861663319794</v>
      </c>
      <c r="DF192" s="1">
        <v>0.8903569973420125</v>
      </c>
      <c r="DG192" s="1">
        <v>1.9369727455967058</v>
      </c>
      <c r="DH192" s="1">
        <v>1.9936543327132796</v>
      </c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</row>
    <row r="193" spans="1:12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 cm="1">
        <f t="array" ref="Z193">RELU(_xlfn.ANCHORARRAY(Z186))</f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1</v>
      </c>
      <c r="CH193" s="1" t="s">
        <v>45</v>
      </c>
      <c r="CI193" s="1"/>
      <c r="CJ193" s="1"/>
      <c r="CK193" s="1"/>
      <c r="CL193" s="1">
        <v>5.821485674363819</v>
      </c>
      <c r="CM193" s="1">
        <v>8.56057225336864</v>
      </c>
      <c r="CN193" s="1">
        <v>7.3588697979988575</v>
      </c>
      <c r="CO193" s="1">
        <v>7.201775057187462</v>
      </c>
      <c r="CP193" s="1">
        <v>8.497751317496517</v>
      </c>
      <c r="CQ193" s="1">
        <v>9.137514068399666</v>
      </c>
      <c r="CR193" s="1">
        <v>7.378932123896859</v>
      </c>
      <c r="CS193" s="1">
        <v>7.450151078936072</v>
      </c>
      <c r="CT193" s="1"/>
      <c r="CU193" s="1"/>
      <c r="CV193" s="1"/>
      <c r="CW193" s="1"/>
      <c r="CX193" s="1"/>
      <c r="CY193" s="1"/>
      <c r="CZ193" s="1"/>
      <c r="DA193" s="1">
        <v>5.821485674363819</v>
      </c>
      <c r="DB193" s="1">
        <v>8.56057225336864</v>
      </c>
      <c r="DC193" s="1">
        <v>7.3588697979988575</v>
      </c>
      <c r="DD193" s="1">
        <v>7.201775057187462</v>
      </c>
      <c r="DE193" s="1">
        <v>8.497751317496517</v>
      </c>
      <c r="DF193" s="1">
        <v>9.137514068399666</v>
      </c>
      <c r="DG193" s="1">
        <v>7.378932123896859</v>
      </c>
      <c r="DH193" s="1">
        <v>7.450151078936072</v>
      </c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</row>
    <row r="194" spans="1:12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3">
        <v>1</v>
      </c>
      <c r="CA194" s="1"/>
      <c r="CB194" s="1">
        <v>0</v>
      </c>
      <c r="CC194" s="1">
        <v>1</v>
      </c>
      <c r="CD194" s="1">
        <v>1</v>
      </c>
      <c r="CE194" s="1">
        <v>1</v>
      </c>
      <c r="CF194" s="1">
        <v>1</v>
      </c>
      <c r="CG194" s="1">
        <v>1</v>
      </c>
      <c r="CH194" s="1" t="s">
        <v>45</v>
      </c>
      <c r="CI194" s="1"/>
      <c r="CJ194" s="1"/>
      <c r="CK194" s="1"/>
      <c r="CL194" s="1">
        <v>6.494532657191912</v>
      </c>
      <c r="CM194" s="1">
        <v>17.041917291468035</v>
      </c>
      <c r="CN194" s="1">
        <v>9.61976609601337</v>
      </c>
      <c r="CO194" s="1">
        <v>10.544937677307702</v>
      </c>
      <c r="CP194" s="1">
        <v>13.73847434437587</v>
      </c>
      <c r="CQ194" s="1">
        <v>15.227469179354035</v>
      </c>
      <c r="CR194" s="1">
        <v>9.110103300257883</v>
      </c>
      <c r="CS194" s="1">
        <v>8.785751880401513</v>
      </c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</row>
    <row r="195" spans="1:12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3">
        <v>6.176293029360017</v>
      </c>
      <c r="AA195" s="3">
        <v>9.46563790793384</v>
      </c>
      <c r="AB195" s="3">
        <v>5.6213841268452995</v>
      </c>
      <c r="AC195" s="3">
        <v>14.290737150647889</v>
      </c>
      <c r="AD195" s="3">
        <v>5.963843620996549</v>
      </c>
      <c r="AE195" s="3">
        <v>11.662937588404525</v>
      </c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>
        <v>0</v>
      </c>
      <c r="CC195" s="1">
        <v>1</v>
      </c>
      <c r="CD195" s="1">
        <v>0</v>
      </c>
      <c r="CE195" s="1">
        <v>1</v>
      </c>
      <c r="CF195" s="1">
        <v>0</v>
      </c>
      <c r="CG195" s="1">
        <v>1</v>
      </c>
      <c r="CH195" s="1" t="s">
        <v>45</v>
      </c>
      <c r="CI195" s="1"/>
      <c r="CJ195" s="1"/>
      <c r="CK195" s="1"/>
      <c r="CL195" s="1">
        <v>12.117607322893448</v>
      </c>
      <c r="CM195" s="1">
        <v>16.268612225090514</v>
      </c>
      <c r="CN195" s="1">
        <v>15.002482190040762</v>
      </c>
      <c r="CO195" s="1">
        <v>16.004213932871814</v>
      </c>
      <c r="CP195" s="1">
        <v>16.269840868520877</v>
      </c>
      <c r="CQ195" s="1">
        <v>16.618326403248854</v>
      </c>
      <c r="CR195" s="1">
        <v>14.067493449138151</v>
      </c>
      <c r="CS195" s="1">
        <v>13.678888417913992</v>
      </c>
      <c r="CT195" s="1"/>
      <c r="CU195" s="1"/>
      <c r="CV195" s="5"/>
      <c r="CW195" s="1"/>
      <c r="CX195" s="1"/>
      <c r="CY195" s="1"/>
      <c r="CZ195" s="1"/>
      <c r="DA195" s="5" t="s">
        <v>53</v>
      </c>
      <c r="DB195" s="1"/>
      <c r="DC195" s="1"/>
      <c r="DD195" s="1"/>
      <c r="DE195" s="1"/>
      <c r="DF195" s="1"/>
      <c r="DG195" s="1"/>
      <c r="DH195" s="1"/>
      <c r="DI195" s="1"/>
      <c r="DJ195" s="1" t="s">
        <v>8</v>
      </c>
      <c r="DK195" s="1">
        <v>0</v>
      </c>
      <c r="DL195" s="1">
        <v>1</v>
      </c>
      <c r="DM195" s="1">
        <v>2</v>
      </c>
      <c r="DN195" s="1">
        <v>3</v>
      </c>
      <c r="DO195" s="1">
        <v>4</v>
      </c>
      <c r="DP195" s="1">
        <v>5</v>
      </c>
      <c r="DQ195" s="1">
        <v>6</v>
      </c>
      <c r="DR195" s="1">
        <v>7</v>
      </c>
      <c r="DS195" s="1"/>
    </row>
    <row r="196" spans="1:12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>
        <v>1</v>
      </c>
      <c r="CC196" s="1">
        <v>0</v>
      </c>
      <c r="CD196" s="1">
        <v>0</v>
      </c>
      <c r="CE196" s="1">
        <v>0</v>
      </c>
      <c r="CF196" s="1">
        <v>-1</v>
      </c>
      <c r="CG196" s="1">
        <v>0</v>
      </c>
      <c r="CH196" s="1" t="s">
        <v>45</v>
      </c>
      <c r="CI196" s="1"/>
      <c r="CJ196" s="1"/>
      <c r="CK196" s="1"/>
      <c r="CL196" s="1">
        <v>3.121468717302255</v>
      </c>
      <c r="CM196" s="1">
        <v>-3.053230986955669</v>
      </c>
      <c r="CN196" s="1">
        <v>2.0713002561888887</v>
      </c>
      <c r="CO196" s="1">
        <v>2.371392623418023</v>
      </c>
      <c r="CP196" s="1">
        <v>-1.4574006615082244</v>
      </c>
      <c r="CQ196" s="1">
        <v>-1.9329839964803994</v>
      </c>
      <c r="CR196" s="1">
        <v>2.1912787331758024</v>
      </c>
      <c r="CS196" s="1">
        <v>2.3162625154360876</v>
      </c>
      <c r="CT196" s="1"/>
      <c r="CU196" s="1"/>
      <c r="CV196" s="1"/>
      <c r="CW196" s="1" t="s">
        <v>54</v>
      </c>
      <c r="CX196" s="1"/>
      <c r="CY196" s="1"/>
      <c r="CZ196" s="1"/>
      <c r="DA196" s="1" t="s">
        <v>44</v>
      </c>
      <c r="DB196" s="1" t="s">
        <v>44</v>
      </c>
      <c r="DC196" s="1" t="s">
        <v>44</v>
      </c>
      <c r="DD196" s="1" t="s">
        <v>44</v>
      </c>
      <c r="DE196" s="1" t="s">
        <v>44</v>
      </c>
      <c r="DF196" s="1" t="s">
        <v>44</v>
      </c>
      <c r="DG196" s="1" t="s">
        <v>44</v>
      </c>
      <c r="DH196" s="1" t="s">
        <v>44</v>
      </c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</row>
    <row r="197" spans="1:12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3">
        <v>3.19433719572958</v>
      </c>
      <c r="AA197" s="3">
        <v>13.284875486089902</v>
      </c>
      <c r="AB197" s="3">
        <v>1.4294393008793032</v>
      </c>
      <c r="AC197" s="3">
        <v>8.161566263476844</v>
      </c>
      <c r="AD197" s="3">
        <v>1.7651284925546022</v>
      </c>
      <c r="AE197" s="3">
        <v>8.168413189332075</v>
      </c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>
        <f>TRANSPOSE(CL212:CQ214)</f>
        <v>0</v>
      </c>
      <c r="CX197" s="1">
        <v>4.720722472191309</v>
      </c>
      <c r="CY197" s="1">
        <v>2.241466449479663</v>
      </c>
      <c r="CZ197" s="1" t="s">
        <v>45</v>
      </c>
      <c r="DA197" s="1" cm="1">
        <f t="array" ref="DA197">MMULT(_xlfn.ANCHORARRAY(CW197),_xlfn.ANCHORARRAY(DA191)) / SQRT(3)</f>
        <v>0</v>
      </c>
      <c r="DB197" s="1">
        <v>50.93229665437076</v>
      </c>
      <c r="DC197" s="1">
        <v>34.0321183082402</v>
      </c>
      <c r="DD197" s="1">
        <v>39.8975581386637</v>
      </c>
      <c r="DE197" s="1">
        <v>40.60584105611318</v>
      </c>
      <c r="DF197" s="1">
        <v>47.42076851922288</v>
      </c>
      <c r="DG197" s="1">
        <v>31.10192650138966</v>
      </c>
      <c r="DH197" s="1">
        <v>30.257973536586377</v>
      </c>
      <c r="DI197" s="1"/>
      <c r="DJ197" s="1"/>
      <c r="DK197" s="1">
        <f>SOFTMAX(DA197:DA202)</f>
        <v>0</v>
      </c>
      <c r="DL197" s="1">
        <f>SOFTMAX(DB197:DB202)</f>
        <v>0</v>
      </c>
      <c r="DM197" s="1">
        <f>SOFTMAX(DC197:DC202)</f>
        <v>0</v>
      </c>
      <c r="DN197" s="1">
        <f>SOFTMAX(DD197:DD202)</f>
        <v>0</v>
      </c>
      <c r="DO197" s="1">
        <f>SOFTMAX(DE197:DE202)</f>
        <v>0</v>
      </c>
      <c r="DP197" s="1">
        <f>SOFTMAX(DF197:DF202)</f>
        <v>0</v>
      </c>
      <c r="DQ197" s="1">
        <f>SOFTMAX(DG197:DG202)</f>
        <v>0</v>
      </c>
      <c r="DR197" s="1">
        <f>SOFTMAX(DH197:DH202)</f>
        <v>0</v>
      </c>
      <c r="DS197" s="1"/>
    </row>
    <row r="198" spans="1:12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>
        <v>8.714208726139526</v>
      </c>
      <c r="CX198" s="1">
        <v>2.709502074149368</v>
      </c>
      <c r="CY198" s="1">
        <v>4.120949644522939</v>
      </c>
      <c r="CZ198" s="1" t="s">
        <v>45</v>
      </c>
      <c r="DA198" s="1">
        <v>27.156704523280006</v>
      </c>
      <c r="DB198" s="1">
        <v>69.57519393976936</v>
      </c>
      <c r="DC198" s="1">
        <v>44.67431719101991</v>
      </c>
      <c r="DD198" s="1">
        <v>52.126295953621714</v>
      </c>
      <c r="DE198" s="1">
        <v>55.365966556016176</v>
      </c>
      <c r="DF198" s="1">
        <v>64.85047760415847</v>
      </c>
      <c r="DG198" s="1">
        <v>41.053759067055374</v>
      </c>
      <c r="DH198" s="1">
        <v>39.94020170311897</v>
      </c>
      <c r="DI198" s="1"/>
      <c r="DJ198" s="1"/>
      <c r="DK198" s="1">
        <v>0.9582075453776842</v>
      </c>
      <c r="DL198" s="1">
        <v>0.9999799949721957</v>
      </c>
      <c r="DM198" s="1">
        <v>0.9996082999531992</v>
      </c>
      <c r="DN198" s="1">
        <v>0.9997135387352369</v>
      </c>
      <c r="DO198" s="1">
        <v>0.9999492763365887</v>
      </c>
      <c r="DP198" s="1">
        <v>0.9999836815197979</v>
      </c>
      <c r="DQ198" s="1">
        <v>0.999491090356881</v>
      </c>
      <c r="DR198" s="1">
        <v>0.9994307553663367</v>
      </c>
      <c r="DS198" s="1"/>
    </row>
    <row r="199" spans="1:12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>
        <v>5.273733795658991</v>
      </c>
      <c r="CX199" s="1">
        <v>5.554994549741247</v>
      </c>
      <c r="CY199" s="1">
        <v>2.8778319129808634</v>
      </c>
      <c r="CZ199" s="1" t="s">
        <v>45</v>
      </c>
      <c r="DA199" s="1">
        <v>23.39816529715026</v>
      </c>
      <c r="DB199" s="1">
        <v>45.116187587650856</v>
      </c>
      <c r="DC199" s="1">
        <v>33.106099451240375</v>
      </c>
      <c r="DD199" s="1">
        <v>37.347046658783704</v>
      </c>
      <c r="DE199" s="1">
        <v>37.927324793861125</v>
      </c>
      <c r="DF199" s="1">
        <v>43.284536695464666</v>
      </c>
      <c r="DG199" s="1">
        <v>30.859123135930414</v>
      </c>
      <c r="DH199" s="1">
        <v>30.329122914551288</v>
      </c>
      <c r="DI199" s="1"/>
      <c r="DJ199" s="1"/>
      <c r="DK199" s="1">
        <v>0.022343270350239645</v>
      </c>
      <c r="DL199" s="1">
        <v>0.00000000002385502193740356</v>
      </c>
      <c r="DM199" s="1">
        <v>0.000009458379246748333</v>
      </c>
      <c r="DN199" s="1">
        <v>0.0000003813547482929744</v>
      </c>
      <c r="DO199" s="1">
        <v>0.000000026697591353071712</v>
      </c>
      <c r="DP199" s="1">
        <v>0.0000000004305501840512175</v>
      </c>
      <c r="DQ199" s="1">
        <v>0.00003735122047148712</v>
      </c>
      <c r="DR199" s="1">
        <v>0.00006694439588651658</v>
      </c>
      <c r="DS199" s="1"/>
    </row>
    <row r="200" spans="1:12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>
        <v>8.01447697636618</v>
      </c>
      <c r="CX200" s="1">
        <v>3.4634813105640885</v>
      </c>
      <c r="CY200" s="1">
        <v>2.11051523901744</v>
      </c>
      <c r="CZ200" s="1" t="s">
        <v>45</v>
      </c>
      <c r="DA200" s="1">
        <v>20.738844747780895</v>
      </c>
      <c r="DB200" s="1">
        <v>55.96359780033735</v>
      </c>
      <c r="DC200" s="1">
        <v>35.05279120009262</v>
      </c>
      <c r="DD200" s="1">
        <v>42.000637364508385</v>
      </c>
      <c r="DE200" s="1">
        <v>43.30969227252002</v>
      </c>
      <c r="DF200" s="1">
        <v>51.28210386641996</v>
      </c>
      <c r="DG200" s="1">
        <v>31.68853758384598</v>
      </c>
      <c r="DH200" s="1">
        <v>30.627130958880926</v>
      </c>
      <c r="DI200" s="1"/>
      <c r="DJ200" s="1"/>
      <c r="DK200" s="1">
        <v>0.0015639342841791473</v>
      </c>
      <c r="DL200" s="1">
        <v>0.0000012261686795217882</v>
      </c>
      <c r="DM200" s="1">
        <v>0.00006626042362697358</v>
      </c>
      <c r="DN200" s="1">
        <v>0.00004002744991178912</v>
      </c>
      <c r="DO200" s="1">
        <v>0.000005807705379223973</v>
      </c>
      <c r="DP200" s="1">
        <v>0.0000012803333857204194</v>
      </c>
      <c r="DQ200" s="1">
        <v>0.0000856081111919031</v>
      </c>
      <c r="DR200" s="1">
        <v>0.00009018565753123613</v>
      </c>
      <c r="DS200" s="1"/>
    </row>
    <row r="201" spans="1:12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>
        <v>5.469696313864565</v>
      </c>
      <c r="CX201" s="1">
        <v>5.464165319605373</v>
      </c>
      <c r="CY201" s="1">
        <v>2.620312458762759</v>
      </c>
      <c r="CZ201" s="1" t="s">
        <v>45</v>
      </c>
      <c r="DA201" s="1">
        <v>22.611962024354966</v>
      </c>
      <c r="DB201" s="1">
        <v>44.90684339315138</v>
      </c>
      <c r="DC201" s="1">
        <v>32.450836244727974</v>
      </c>
      <c r="DD201" s="1">
        <v>36.90019645541488</v>
      </c>
      <c r="DE201" s="1">
        <v>37.35594078613307</v>
      </c>
      <c r="DF201" s="1">
        <v>42.81741883390211</v>
      </c>
      <c r="DG201" s="1">
        <v>30.12072314665613</v>
      </c>
      <c r="DH201" s="1">
        <v>29.546316007487697</v>
      </c>
      <c r="DI201" s="1"/>
      <c r="DJ201" s="1"/>
      <c r="DK201" s="1">
        <v>0.010178950383154906</v>
      </c>
      <c r="DL201" s="1">
        <v>0.000000000019349190115091947</v>
      </c>
      <c r="DM201" s="1">
        <v>0.000004911787040171477</v>
      </c>
      <c r="DN201" s="1">
        <v>0.00000024392964326461073</v>
      </c>
      <c r="DO201" s="1">
        <v>0.000000015077285535703494</v>
      </c>
      <c r="DP201" s="1">
        <v>0.00000000026987152895048793</v>
      </c>
      <c r="DQ201" s="1">
        <v>0.000017849323322143162</v>
      </c>
      <c r="DR201" s="1">
        <v>0.000030601696714826836</v>
      </c>
      <c r="DS201" s="1"/>
    </row>
    <row r="202" spans="1:12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>
        <v>8.376995484214936</v>
      </c>
      <c r="CX202" s="1">
        <v>3.2959495540104435</v>
      </c>
      <c r="CY202" s="1">
        <v>2.2644840949091876</v>
      </c>
      <c r="CZ202" s="1" t="s">
        <v>45</v>
      </c>
      <c r="DA202" s="1">
        <v>21.403813012131895</v>
      </c>
      <c r="DB202" s="1">
        <v>58.69200631933828</v>
      </c>
      <c r="DC202" s="1">
        <v>36.51935062934114</v>
      </c>
      <c r="DD202" s="1">
        <v>43.795545052435834</v>
      </c>
      <c r="DE202" s="1">
        <v>45.34566717531631</v>
      </c>
      <c r="DF202" s="1">
        <v>53.74373387577295</v>
      </c>
      <c r="DG202" s="1">
        <v>33.00859296771509</v>
      </c>
      <c r="DH202" s="1">
        <v>31.89097203274692</v>
      </c>
      <c r="DI202" s="1"/>
      <c r="DJ202" s="1"/>
      <c r="DK202" s="1">
        <v>0.0030409588832449415</v>
      </c>
      <c r="DL202" s="1">
        <v>0.000018770808661057053</v>
      </c>
      <c r="DM202" s="1">
        <v>0.000287192355506954</v>
      </c>
      <c r="DN202" s="1">
        <v>0.00024092198188840693</v>
      </c>
      <c r="DO202" s="1">
        <v>0.000044485373614080685</v>
      </c>
      <c r="DP202" s="1">
        <v>0.000015010508327061029</v>
      </c>
      <c r="DQ202" s="1">
        <v>0.00032048498270951376</v>
      </c>
      <c r="DR202" s="1">
        <v>0.000319166043810533</v>
      </c>
      <c r="DS202" s="1"/>
    </row>
    <row r="203" spans="1:12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</row>
    <row r="204" spans="1:12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 cm="1">
        <f t="array" ref="Z204">_xlfn.ANCHORARRAY(Z193)+_xlfn.ANCHORARRAY(Z147)</f>
        <v>0</v>
      </c>
      <c r="AA204" s="3">
        <v>2.441721956449879</v>
      </c>
      <c r="AB204" s="3">
        <v>2.3623019706523687</v>
      </c>
      <c r="AC204" s="3">
        <v>2.2703202358274</v>
      </c>
      <c r="AD204" s="3">
        <v>2.378040582045023</v>
      </c>
      <c r="AE204" s="3">
        <v>2.1311382605109026</v>
      </c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 cm="1">
        <f t="array" ref="CL204">_xlfn.ANCHORARRAY(Z218)</f>
        <v>0</v>
      </c>
      <c r="CM204" s="1">
        <v>0.5585112842819955</v>
      </c>
      <c r="CN204" s="1">
        <v>2.420980105767682</v>
      </c>
      <c r="CO204" s="1">
        <v>0.8845184048491379</v>
      </c>
      <c r="CP204" s="1">
        <v>2.3468747146065136</v>
      </c>
      <c r="CQ204" s="1">
        <v>1.025609573302531</v>
      </c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</row>
    <row r="205" spans="1:12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3">
        <v>5.5797305277288025</v>
      </c>
      <c r="AA205" s="3">
        <v>1.762956416878015</v>
      </c>
      <c r="AB205" s="3">
        <v>5.528424278384708</v>
      </c>
      <c r="AC205" s="3">
        <v>4.809839766935912</v>
      </c>
      <c r="AD205" s="3">
        <v>5.569640698449405</v>
      </c>
      <c r="AE205" s="3">
        <v>4.749348510556022</v>
      </c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>
        <v>4.370033725895642</v>
      </c>
      <c r="CM205" s="1">
        <v>2.1332128744382635</v>
      </c>
      <c r="CN205" s="1">
        <v>4.383722895141484</v>
      </c>
      <c r="CO205" s="1">
        <v>2.941439597494357</v>
      </c>
      <c r="CP205" s="1">
        <v>4.398026953075313</v>
      </c>
      <c r="CQ205" s="1">
        <v>2.9688945922358254</v>
      </c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</row>
    <row r="206" spans="1:12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3">
        <v>3.0307970959048434</v>
      </c>
      <c r="AA206" s="3">
        <v>12.84755291439274</v>
      </c>
      <c r="AB206" s="3">
        <v>0.6924843947399371</v>
      </c>
      <c r="AC206" s="3">
        <v>13.971406030412757</v>
      </c>
      <c r="AD206" s="3">
        <v>1.297250925781615</v>
      </c>
      <c r="AE206" s="3">
        <v>14.889708210740055</v>
      </c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>
        <v>0.6677773524333876</v>
      </c>
      <c r="CM206" s="1">
        <v>3.0363354068894286</v>
      </c>
      <c r="CN206" s="1">
        <v>-0.8165493578635944</v>
      </c>
      <c r="CO206" s="1">
        <v>3.4845638529241145</v>
      </c>
      <c r="CP206" s="1">
        <v>-0.48250473144344624</v>
      </c>
      <c r="CQ206" s="1">
        <v>3.470671758844541</v>
      </c>
      <c r="CR206" s="1"/>
      <c r="CS206" s="1"/>
      <c r="CT206" s="1"/>
      <c r="CU206" s="1"/>
      <c r="CV206" s="1"/>
      <c r="CW206" s="1"/>
      <c r="CX206" s="1"/>
      <c r="CY206" s="1"/>
      <c r="CZ206" s="1"/>
      <c r="DA206" s="3" t="s">
        <v>58</v>
      </c>
      <c r="DB206" s="1"/>
      <c r="DC206" s="1"/>
      <c r="DD206" s="1"/>
      <c r="DE206" s="1"/>
      <c r="DF206" s="1"/>
      <c r="DG206" s="1"/>
      <c r="DH206" s="1"/>
      <c r="DI206" s="1"/>
      <c r="DJ206" s="1"/>
      <c r="DK206" s="1" t="s">
        <v>44</v>
      </c>
      <c r="DL206" s="1" t="s">
        <v>44</v>
      </c>
      <c r="DM206" s="1" t="s">
        <v>44</v>
      </c>
      <c r="DN206" s="1" t="s">
        <v>44</v>
      </c>
      <c r="DO206" s="1" t="s">
        <v>44</v>
      </c>
      <c r="DP206" s="1" t="s">
        <v>44</v>
      </c>
      <c r="DQ206" s="1" t="s">
        <v>44</v>
      </c>
      <c r="DR206" s="1" t="s">
        <v>44</v>
      </c>
      <c r="DS206" s="1"/>
    </row>
    <row r="207" spans="1:12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3">
        <v>0.6121095074062985</v>
      </c>
      <c r="AA207" s="3">
        <v>3.8222500452177357</v>
      </c>
      <c r="AB207" s="3">
        <v>2.2564659923125436</v>
      </c>
      <c r="AC207" s="3">
        <v>2.676204052630616</v>
      </c>
      <c r="AD207" s="3">
        <v>2.098391406007478</v>
      </c>
      <c r="AE207" s="3">
        <v>1.064830508218999</v>
      </c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>
        <v>0.3506887462956667</v>
      </c>
      <c r="CM207" s="1">
        <v>0.5762891997111047</v>
      </c>
      <c r="CN207" s="1">
        <v>1.1712716545997628</v>
      </c>
      <c r="CO207" s="1">
        <v>0.5220417130697315</v>
      </c>
      <c r="CP207" s="1">
        <v>1.0661383665300606</v>
      </c>
      <c r="CQ207" s="1">
        <v>0.32705496177461824</v>
      </c>
      <c r="CR207" s="1"/>
      <c r="CS207" s="1"/>
      <c r="CT207" s="1"/>
      <c r="CU207" s="1"/>
      <c r="CV207" s="1"/>
      <c r="CW207" s="1"/>
      <c r="CX207" s="1"/>
      <c r="CY207" s="1"/>
      <c r="CZ207" s="1"/>
      <c r="DA207" s="1">
        <f>CL225:CQ227</f>
        <v>0</v>
      </c>
      <c r="DB207" s="1">
        <v>3.5446604448118353</v>
      </c>
      <c r="DC207" s="1">
        <v>1.7065602583811006</v>
      </c>
      <c r="DD207" s="1">
        <v>1.5884735259477087</v>
      </c>
      <c r="DE207" s="1">
        <v>1.5541740922326985</v>
      </c>
      <c r="DF207" s="1">
        <v>1.9374291331345694</v>
      </c>
      <c r="DG207" s="1"/>
      <c r="DH207" s="1"/>
      <c r="DI207" s="1"/>
      <c r="DJ207" s="1" t="s">
        <v>45</v>
      </c>
      <c r="DK207" s="6" cm="1">
        <f t="array" ref="DK207">MMULT(_xlfn.ANCHORARRAY(DA207),DK197:DR202)</f>
        <v>0</v>
      </c>
      <c r="DL207" s="6">
        <v>3.544627863839848</v>
      </c>
      <c r="DM207" s="6">
        <v>3.5440025902720333</v>
      </c>
      <c r="DN207" s="6">
        <v>3.5441856579997526</v>
      </c>
      <c r="DO207" s="6">
        <v>3.544576863439791</v>
      </c>
      <c r="DP207" s="6">
        <v>3.544633769000451</v>
      </c>
      <c r="DQ207" s="6">
        <v>3.5437949504360566</v>
      </c>
      <c r="DR207" s="6">
        <v>3.543683974020623</v>
      </c>
      <c r="DS207" s="1"/>
    </row>
    <row r="208" spans="1:12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3">
        <v>-0.8536341541645935</v>
      </c>
      <c r="AA208" s="3">
        <v>8.083209579823679</v>
      </c>
      <c r="AB208" s="3">
        <v>-1.8683415034265183</v>
      </c>
      <c r="AC208" s="3">
        <v>1.8110233661841662</v>
      </c>
      <c r="AD208" s="3">
        <v>-1.7132358119248892</v>
      </c>
      <c r="AE208" s="3">
        <v>1.8045291410203124</v>
      </c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>
        <v>-0.4902762556575655</v>
      </c>
      <c r="CM208" s="1">
        <v>2.98614916052984</v>
      </c>
      <c r="CN208" s="1">
        <v>-0.7144198473865813</v>
      </c>
      <c r="CO208" s="1">
        <v>0.7039551210985708</v>
      </c>
      <c r="CP208" s="1">
        <v>-0.7927006223738151</v>
      </c>
      <c r="CQ208" s="1">
        <v>0.9118195598320384</v>
      </c>
      <c r="CR208" s="1"/>
      <c r="CS208" s="1"/>
      <c r="CT208" s="1"/>
      <c r="CU208" s="1"/>
      <c r="CV208" s="1"/>
      <c r="CW208" s="1"/>
      <c r="CX208" s="1"/>
      <c r="CY208" s="1"/>
      <c r="CZ208" s="1"/>
      <c r="DA208" s="1">
        <v>5.037811078329029</v>
      </c>
      <c r="DB208" s="1">
        <v>5.1695482813276925</v>
      </c>
      <c r="DC208" s="1">
        <v>3.5671735372778897</v>
      </c>
      <c r="DD208" s="1">
        <v>6.426003450418472</v>
      </c>
      <c r="DE208" s="1">
        <v>3.9155222216318664</v>
      </c>
      <c r="DF208" s="1">
        <v>6.439566351080366</v>
      </c>
      <c r="DG208" s="1"/>
      <c r="DH208" s="1"/>
      <c r="DI208" s="1"/>
      <c r="DJ208" s="1" t="s">
        <v>45</v>
      </c>
      <c r="DK208" s="6">
        <v>5.12619380728705</v>
      </c>
      <c r="DL208" s="6">
        <v>5.1695736601025075</v>
      </c>
      <c r="DM208" s="6">
        <v>5.169971813180928</v>
      </c>
      <c r="DN208" s="6">
        <v>5.169902988586852</v>
      </c>
      <c r="DO208" s="6">
        <v>5.16961196276993</v>
      </c>
      <c r="DP208" s="6">
        <v>5.169568949048929</v>
      </c>
      <c r="DQ208" s="6">
        <v>5.169974358832331</v>
      </c>
      <c r="DR208" s="6">
        <v>5.16991308347351</v>
      </c>
      <c r="DS208" s="1"/>
    </row>
    <row r="209" spans="1:12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 t="s">
        <v>44</v>
      </c>
      <c r="CM209" s="1" t="s">
        <v>44</v>
      </c>
      <c r="CN209" s="1" t="s">
        <v>44</v>
      </c>
      <c r="CO209" s="1" t="s">
        <v>44</v>
      </c>
      <c r="CP209" s="1" t="s">
        <v>44</v>
      </c>
      <c r="CQ209" s="1" t="s">
        <v>44</v>
      </c>
      <c r="CR209" s="1"/>
      <c r="CS209" s="1"/>
      <c r="CT209" s="1"/>
      <c r="CU209" s="1"/>
      <c r="CV209" s="1"/>
      <c r="CW209" s="1"/>
      <c r="CX209" s="1"/>
      <c r="CY209" s="1"/>
      <c r="CZ209" s="1"/>
      <c r="DA209" s="1">
        <v>4.720722472191309</v>
      </c>
      <c r="DB209" s="1">
        <v>2.709502074149368</v>
      </c>
      <c r="DC209" s="1">
        <v>5.554994549741247</v>
      </c>
      <c r="DD209" s="1">
        <v>3.4634813105640885</v>
      </c>
      <c r="DE209" s="1">
        <v>5.464165319605373</v>
      </c>
      <c r="DF209" s="1">
        <v>3.2959495540104435</v>
      </c>
      <c r="DG209" s="1"/>
      <c r="DH209" s="1"/>
      <c r="DI209" s="1"/>
      <c r="DJ209" s="1" t="s">
        <v>45</v>
      </c>
      <c r="DK209" s="6">
        <v>2.8134648273826057</v>
      </c>
      <c r="DL209" s="6">
        <v>2.7095140229740693</v>
      </c>
      <c r="DM209" s="6">
        <v>2.709808922545649</v>
      </c>
      <c r="DN209" s="6">
        <v>2.7096851271168636</v>
      </c>
      <c r="DO209" s="6">
        <v>2.7095334408562017</v>
      </c>
      <c r="DP209" s="6">
        <v>2.709511898515859</v>
      </c>
      <c r="DQ209" s="6">
        <v>2.7100057862712172</v>
      </c>
      <c r="DR209" s="6">
        <v>2.710157426764385</v>
      </c>
      <c r="DS209" s="1"/>
    </row>
    <row r="210" spans="1:12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3" t="s">
        <v>61</v>
      </c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</row>
    <row r="211" spans="1:12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>
        <f>NORMALIZE(Z204:Z208)</f>
        <v>0</v>
      </c>
      <c r="AA211" s="1">
        <f>NORMALIZE(AA204:AA208)</f>
        <v>0</v>
      </c>
      <c r="AB211" s="1">
        <f>NORMALIZE(AB204:AB208)</f>
        <v>0</v>
      </c>
      <c r="AC211" s="1">
        <f>NORMALIZE(AC204:AC208)</f>
        <v>0</v>
      </c>
      <c r="AD211" s="1">
        <f>NORMALIZE(AD204:AD208)</f>
        <v>0</v>
      </c>
      <c r="AE211" s="1">
        <f>NORMALIZE(AE204:AE208)</f>
        <v>0</v>
      </c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 t="s">
        <v>56</v>
      </c>
      <c r="CD211" s="1"/>
      <c r="CE211" s="1"/>
      <c r="CF211" s="1"/>
      <c r="CG211" s="1"/>
      <c r="CH211" s="1"/>
      <c r="CI211" s="1"/>
      <c r="CJ211" s="1"/>
      <c r="CK211" s="1"/>
      <c r="CL211" s="1" t="s">
        <v>57</v>
      </c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</row>
    <row r="212" spans="1:12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>
        <v>1.3700337258956419</v>
      </c>
      <c r="AA212" s="1">
        <v>-0.8667871255617366</v>
      </c>
      <c r="AB212" s="1">
        <v>1.3837228951414844</v>
      </c>
      <c r="AC212" s="1">
        <v>-0.05856040250564286</v>
      </c>
      <c r="AD212" s="1">
        <v>1.3980269530753129</v>
      </c>
      <c r="AE212" s="1">
        <v>-0.03110540776417442</v>
      </c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7"/>
      <c r="AU212" s="7"/>
      <c r="AV212" s="7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3">
        <v>0</v>
      </c>
      <c r="CA212" s="1"/>
      <c r="CB212" s="1"/>
      <c r="CC212" s="1">
        <v>1</v>
      </c>
      <c r="CD212" s="1">
        <v>1</v>
      </c>
      <c r="CE212" s="1">
        <v>1</v>
      </c>
      <c r="CF212" s="1">
        <v>0</v>
      </c>
      <c r="CG212" s="1">
        <v>1</v>
      </c>
      <c r="CH212" s="1" t="s">
        <v>45</v>
      </c>
      <c r="CI212" s="1"/>
      <c r="CJ212" s="1"/>
      <c r="CK212" s="1"/>
      <c r="CL212" s="1" cm="1">
        <f t="array" ref="CL212">MMULT(CC212:CG217,_xlfn.ANCHORARRAY(CL204))</f>
        <v>0</v>
      </c>
      <c r="CM212" s="1">
        <v>8.714208726139526</v>
      </c>
      <c r="CN212" s="1">
        <v>5.273733795658991</v>
      </c>
      <c r="CO212" s="1">
        <v>8.01447697636618</v>
      </c>
      <c r="CP212" s="1">
        <v>5.469696313864565</v>
      </c>
      <c r="CQ212" s="1">
        <v>8.376995484214936</v>
      </c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</row>
    <row r="213" spans="1:12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>
        <v>0.3338886762166938</v>
      </c>
      <c r="AA213" s="1">
        <v>1.5181677034447143</v>
      </c>
      <c r="AB213" s="1">
        <v>-0.4082746789317972</v>
      </c>
      <c r="AC213" s="1">
        <v>1.7422819264620573</v>
      </c>
      <c r="AD213" s="1">
        <v>-0.24125236572172312</v>
      </c>
      <c r="AE213" s="1">
        <v>1.7353358794222704</v>
      </c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>
        <v>0</v>
      </c>
      <c r="CD213" s="1">
        <v>1</v>
      </c>
      <c r="CE213" s="1">
        <v>0</v>
      </c>
      <c r="CF213" s="1">
        <v>1</v>
      </c>
      <c r="CG213" s="1">
        <v>0</v>
      </c>
      <c r="CH213" s="1" t="s">
        <v>45</v>
      </c>
      <c r="CI213" s="1"/>
      <c r="CJ213" s="1"/>
      <c r="CK213" s="1"/>
      <c r="CL213" s="1">
        <v>4.720722472191309</v>
      </c>
      <c r="CM213" s="1">
        <v>2.709502074149368</v>
      </c>
      <c r="CN213" s="1">
        <v>5.554994549741247</v>
      </c>
      <c r="CO213" s="1">
        <v>3.4634813105640885</v>
      </c>
      <c r="CP213" s="1">
        <v>5.464165319605373</v>
      </c>
      <c r="CQ213" s="1">
        <v>3.2959495540104435</v>
      </c>
      <c r="CR213" s="1"/>
      <c r="CS213" s="1"/>
      <c r="CT213" s="1"/>
      <c r="CU213" s="1"/>
      <c r="CV213" s="5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</row>
    <row r="214" spans="1:12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>
        <v>-0.6493112537043333</v>
      </c>
      <c r="AA214" s="1">
        <v>-0.4237108002888953</v>
      </c>
      <c r="AB214" s="1">
        <v>0.1712716545997628</v>
      </c>
      <c r="AC214" s="1">
        <v>-0.4779582869302686</v>
      </c>
      <c r="AD214" s="1">
        <v>0.06613836653006057</v>
      </c>
      <c r="AE214" s="1">
        <v>-0.6729450382253818</v>
      </c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>
        <v>1</v>
      </c>
      <c r="CD214" s="1">
        <v>0</v>
      </c>
      <c r="CE214" s="1">
        <v>0</v>
      </c>
      <c r="CF214" s="1">
        <v>1</v>
      </c>
      <c r="CG214" s="1">
        <v>1</v>
      </c>
      <c r="CH214" s="1" t="s">
        <v>45</v>
      </c>
      <c r="CI214" s="1"/>
      <c r="CJ214" s="1"/>
      <c r="CK214" s="1"/>
      <c r="CL214" s="1">
        <v>2.241466449479663</v>
      </c>
      <c r="CM214" s="1">
        <v>4.120949644522939</v>
      </c>
      <c r="CN214" s="1">
        <v>2.8778319129808634</v>
      </c>
      <c r="CO214" s="1">
        <v>2.11051523901744</v>
      </c>
      <c r="CP214" s="1">
        <v>2.620312458762759</v>
      </c>
      <c r="CQ214" s="1">
        <v>2.2644840949091876</v>
      </c>
      <c r="CR214" s="1"/>
      <c r="CS214" s="1"/>
      <c r="CT214" s="1"/>
      <c r="CU214" s="1"/>
      <c r="CV214" s="3" t="s">
        <v>50</v>
      </c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</row>
    <row r="215" spans="1:12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>
        <v>-1.2451381278287827</v>
      </c>
      <c r="AA215" s="1">
        <v>0.4930745802649199</v>
      </c>
      <c r="AB215" s="1">
        <v>-1.3572099236932906</v>
      </c>
      <c r="AC215" s="1">
        <v>-0.6480224394507146</v>
      </c>
      <c r="AD215" s="1">
        <v>-1.3963503111869076</v>
      </c>
      <c r="AE215" s="1">
        <v>-0.5440902200839808</v>
      </c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3">
        <v>1</v>
      </c>
      <c r="CA215" s="1"/>
      <c r="CB215" s="1"/>
      <c r="CC215" s="1">
        <v>0</v>
      </c>
      <c r="CD215" s="1">
        <v>0</v>
      </c>
      <c r="CE215" s="1">
        <v>1</v>
      </c>
      <c r="CF215" s="1">
        <v>0</v>
      </c>
      <c r="CG215" s="1">
        <v>1</v>
      </c>
      <c r="CH215" s="1" t="s">
        <v>45</v>
      </c>
      <c r="CI215" s="1"/>
      <c r="CJ215" s="1"/>
      <c r="CK215" s="1"/>
      <c r="CL215" s="1">
        <v>0.17750109677582215</v>
      </c>
      <c r="CM215" s="1">
        <v>6.022484567419268</v>
      </c>
      <c r="CN215" s="1">
        <v>-1.5309692052501758</v>
      </c>
      <c r="CO215" s="1">
        <v>4.188518974022685</v>
      </c>
      <c r="CP215" s="1">
        <v>-1.2752053538172614</v>
      </c>
      <c r="CQ215" s="1">
        <v>4.382491318676579</v>
      </c>
      <c r="CR215" s="1"/>
      <c r="CS215" s="1"/>
      <c r="CT215" s="1"/>
      <c r="CU215" s="1"/>
      <c r="CV215" s="1">
        <v>1</v>
      </c>
      <c r="CW215" s="1"/>
      <c r="CX215" s="1"/>
      <c r="CY215" s="1"/>
      <c r="CZ215" s="1"/>
      <c r="DA215" s="1" t="s">
        <v>52</v>
      </c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</row>
    <row r="216" spans="1:12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5" t="s">
        <v>62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>
        <v>1</v>
      </c>
      <c r="AA216" s="1">
        <v>1</v>
      </c>
      <c r="AB216" s="1">
        <v>1</v>
      </c>
      <c r="AC216" s="1">
        <v>1</v>
      </c>
      <c r="AD216" s="1">
        <v>1</v>
      </c>
      <c r="AE216" s="1">
        <v>1</v>
      </c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>
        <v>0</v>
      </c>
      <c r="CD216" s="1">
        <v>1</v>
      </c>
      <c r="CE216" s="1">
        <v>0</v>
      </c>
      <c r="CF216" s="1">
        <v>1</v>
      </c>
      <c r="CG216" s="1">
        <v>0</v>
      </c>
      <c r="CH216" s="1" t="s">
        <v>45</v>
      </c>
      <c r="CI216" s="1"/>
      <c r="CJ216" s="1"/>
      <c r="CK216" s="1"/>
      <c r="CL216" s="1">
        <v>4.720722472191309</v>
      </c>
      <c r="CM216" s="1">
        <v>2.709502074149368</v>
      </c>
      <c r="CN216" s="1">
        <v>5.554994549741247</v>
      </c>
      <c r="CO216" s="1">
        <v>3.4634813105640885</v>
      </c>
      <c r="CP216" s="1">
        <v>5.464165319605373</v>
      </c>
      <c r="CQ216" s="1">
        <v>3.2959495540104435</v>
      </c>
      <c r="CR216" s="1"/>
      <c r="CS216" s="1"/>
      <c r="CT216" s="1"/>
      <c r="CU216" s="1"/>
      <c r="CV216" s="1"/>
      <c r="CW216" s="1"/>
      <c r="CX216" s="1"/>
      <c r="CY216" s="1"/>
      <c r="CZ216" s="1"/>
      <c r="DA216" s="1">
        <f>CL194:CS196</f>
        <v>0</v>
      </c>
      <c r="DB216" s="1">
        <v>17.041917291468035</v>
      </c>
      <c r="DC216" s="1">
        <v>9.61976609601337</v>
      </c>
      <c r="DD216" s="1">
        <v>10.544937677307702</v>
      </c>
      <c r="DE216" s="1">
        <v>13.73847434437587</v>
      </c>
      <c r="DF216" s="1">
        <v>15.227469179354035</v>
      </c>
      <c r="DG216" s="1">
        <v>9.110103300257883</v>
      </c>
      <c r="DH216" s="1">
        <v>8.785751880401513</v>
      </c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</row>
    <row r="217" spans="1:12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3" t="s">
        <v>63</v>
      </c>
      <c r="P217" s="1"/>
      <c r="Q217" s="1"/>
      <c r="R217" s="1"/>
      <c r="S217" s="1"/>
      <c r="T217" s="3" t="s">
        <v>64</v>
      </c>
      <c r="U217" s="1"/>
      <c r="V217" s="1"/>
      <c r="W217" s="1"/>
      <c r="X217" s="1"/>
      <c r="Y217" s="1"/>
      <c r="Z217" s="1" t="s">
        <v>44</v>
      </c>
      <c r="AA217" s="1" t="s">
        <v>44</v>
      </c>
      <c r="AB217" s="1" t="s">
        <v>44</v>
      </c>
      <c r="AC217" s="1" t="s">
        <v>44</v>
      </c>
      <c r="AD217" s="1" t="s">
        <v>44</v>
      </c>
      <c r="AE217" s="1" t="s">
        <v>44</v>
      </c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>
        <v>1</v>
      </c>
      <c r="CD217" s="1">
        <v>0</v>
      </c>
      <c r="CE217" s="1">
        <v>1</v>
      </c>
      <c r="CF217" s="1">
        <v>0</v>
      </c>
      <c r="CG217" s="1">
        <v>0</v>
      </c>
      <c r="CH217" s="1" t="s">
        <v>45</v>
      </c>
      <c r="CI217" s="1"/>
      <c r="CJ217" s="1"/>
      <c r="CK217" s="1"/>
      <c r="CL217" s="1">
        <v>3.0488313112749488</v>
      </c>
      <c r="CM217" s="1">
        <v>3.594846691171424</v>
      </c>
      <c r="CN217" s="1">
        <v>1.6044307479040874</v>
      </c>
      <c r="CO217" s="1">
        <v>4.369082257773252</v>
      </c>
      <c r="CP217" s="1">
        <v>1.8643699831630673</v>
      </c>
      <c r="CQ217" s="1">
        <v>4.496281332147072</v>
      </c>
      <c r="CR217" s="1"/>
      <c r="CS217" s="1"/>
      <c r="CT217" s="1"/>
      <c r="CU217" s="1"/>
      <c r="CV217" s="1"/>
      <c r="CW217" s="1"/>
      <c r="CX217" s="1"/>
      <c r="CY217" s="1"/>
      <c r="CZ217" s="1"/>
      <c r="DA217" s="1">
        <v>12.117607322893448</v>
      </c>
      <c r="DB217" s="1">
        <v>16.268612225090514</v>
      </c>
      <c r="DC217" s="1">
        <v>15.002482190040762</v>
      </c>
      <c r="DD217" s="1">
        <v>16.004213932871814</v>
      </c>
      <c r="DE217" s="1">
        <v>16.269840868520877</v>
      </c>
      <c r="DF217" s="1">
        <v>16.618326403248854</v>
      </c>
      <c r="DG217" s="1">
        <v>14.067493449138151</v>
      </c>
      <c r="DH217" s="1">
        <v>13.678888417913992</v>
      </c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</row>
    <row r="218" spans="1:12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>
        <v>2</v>
      </c>
      <c r="P218" s="1">
        <v>0</v>
      </c>
      <c r="Q218" s="1">
        <v>0</v>
      </c>
      <c r="R218" s="1">
        <v>0</v>
      </c>
      <c r="S218" s="1">
        <v>0</v>
      </c>
      <c r="T218" s="1">
        <v>2</v>
      </c>
      <c r="U218" s="1" t="s">
        <v>45</v>
      </c>
      <c r="V218" s="1"/>
      <c r="W218" s="1"/>
      <c r="X218" s="1"/>
      <c r="Y218" s="1"/>
      <c r="Z218" s="1">
        <f>MMULT(O218:T222,Z211:AE216)</f>
        <v>0</v>
      </c>
      <c r="AA218" s="1">
        <v>0.5585112842819955</v>
      </c>
      <c r="AB218" s="1">
        <v>2.420980105767682</v>
      </c>
      <c r="AC218" s="1">
        <v>0.8845184048491379</v>
      </c>
      <c r="AD218" s="1">
        <v>2.3468747146065136</v>
      </c>
      <c r="AE218" s="1">
        <v>1.025609573302531</v>
      </c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>
        <v>3.121468717302255</v>
      </c>
      <c r="DB218" s="1">
        <v>-3.053230986955669</v>
      </c>
      <c r="DC218" s="1">
        <v>2.0713002561888887</v>
      </c>
      <c r="DD218" s="1">
        <v>2.371392623418023</v>
      </c>
      <c r="DE218" s="1">
        <v>-1.4574006615082244</v>
      </c>
      <c r="DF218" s="1">
        <v>-1.9329839964803994</v>
      </c>
      <c r="DG218" s="1">
        <v>2.1912787331758024</v>
      </c>
      <c r="DH218" s="1">
        <v>2.3162625154360876</v>
      </c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</row>
    <row r="219" spans="1:12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>
        <v>0</v>
      </c>
      <c r="P219" s="1">
        <v>1</v>
      </c>
      <c r="Q219" s="1">
        <v>0</v>
      </c>
      <c r="R219" s="1">
        <v>0</v>
      </c>
      <c r="S219" s="1">
        <v>0</v>
      </c>
      <c r="T219" s="1">
        <v>3</v>
      </c>
      <c r="U219" s="1" t="s">
        <v>45</v>
      </c>
      <c r="V219" s="1"/>
      <c r="W219" s="1"/>
      <c r="X219" s="1"/>
      <c r="Y219" s="1"/>
      <c r="Z219" s="1">
        <v>4.370033725895642</v>
      </c>
      <c r="AA219" s="1">
        <v>2.1332128744382635</v>
      </c>
      <c r="AB219" s="1">
        <v>4.383722895141484</v>
      </c>
      <c r="AC219" s="1">
        <v>2.941439597494357</v>
      </c>
      <c r="AD219" s="1">
        <v>4.398026953075313</v>
      </c>
      <c r="AE219" s="1">
        <v>2.9688945922358254</v>
      </c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</row>
    <row r="220" spans="1:12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>
        <v>0</v>
      </c>
      <c r="P220" s="1">
        <v>0</v>
      </c>
      <c r="Q220" s="1">
        <v>2</v>
      </c>
      <c r="R220" s="1">
        <v>0</v>
      </c>
      <c r="S220" s="1">
        <v>0</v>
      </c>
      <c r="T220" s="1">
        <v>0</v>
      </c>
      <c r="U220" s="1" t="s">
        <v>45</v>
      </c>
      <c r="V220" s="1"/>
      <c r="W220" s="1"/>
      <c r="X220" s="1"/>
      <c r="Y220" s="1"/>
      <c r="Z220" s="1">
        <v>0.6677773524333876</v>
      </c>
      <c r="AA220" s="1">
        <v>3.0363354068894286</v>
      </c>
      <c r="AB220" s="1">
        <v>-0.8165493578635944</v>
      </c>
      <c r="AC220" s="1">
        <v>3.4845638529241145</v>
      </c>
      <c r="AD220" s="1">
        <v>-0.48250473144344624</v>
      </c>
      <c r="AE220" s="1">
        <v>3.470671758844541</v>
      </c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5" t="s">
        <v>53</v>
      </c>
      <c r="DB220" s="1"/>
      <c r="DC220" s="1"/>
      <c r="DD220" s="1"/>
      <c r="DE220" s="1"/>
      <c r="DF220" s="1"/>
      <c r="DG220" s="1"/>
      <c r="DH220" s="1"/>
      <c r="DI220" s="1"/>
      <c r="DJ220" s="1" t="s">
        <v>8</v>
      </c>
      <c r="DK220" s="1">
        <v>0</v>
      </c>
      <c r="DL220" s="1">
        <v>1</v>
      </c>
      <c r="DM220" s="1">
        <v>2</v>
      </c>
      <c r="DN220" s="1">
        <v>3</v>
      </c>
      <c r="DO220" s="1">
        <v>4</v>
      </c>
      <c r="DP220" s="1">
        <v>5</v>
      </c>
      <c r="DQ220" s="1">
        <v>6</v>
      </c>
      <c r="DR220" s="1">
        <v>7</v>
      </c>
      <c r="DS220" s="1"/>
    </row>
    <row r="221" spans="1:12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>
        <v>0</v>
      </c>
      <c r="P221" s="1">
        <v>0</v>
      </c>
      <c r="Q221" s="1">
        <v>0</v>
      </c>
      <c r="R221" s="1">
        <v>1</v>
      </c>
      <c r="S221" s="1">
        <v>0</v>
      </c>
      <c r="T221" s="1">
        <v>1</v>
      </c>
      <c r="U221" s="1" t="s">
        <v>45</v>
      </c>
      <c r="V221" s="1"/>
      <c r="W221" s="1"/>
      <c r="X221" s="1"/>
      <c r="Y221" s="1"/>
      <c r="Z221" s="1">
        <v>0.3506887462956667</v>
      </c>
      <c r="AA221" s="1">
        <v>0.5762891997111047</v>
      </c>
      <c r="AB221" s="1">
        <v>1.1712716545997628</v>
      </c>
      <c r="AC221" s="1">
        <v>0.5220417130697315</v>
      </c>
      <c r="AD221" s="1">
        <v>1.0661383665300606</v>
      </c>
      <c r="AE221" s="1">
        <v>0.32705496177461824</v>
      </c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 t="s">
        <v>54</v>
      </c>
      <c r="CX221" s="1"/>
      <c r="CY221" s="1"/>
      <c r="CZ221" s="1"/>
      <c r="DA221" s="1" t="s">
        <v>44</v>
      </c>
      <c r="DB221" s="1" t="s">
        <v>44</v>
      </c>
      <c r="DC221" s="1" t="s">
        <v>44</v>
      </c>
      <c r="DD221" s="1" t="s">
        <v>44</v>
      </c>
      <c r="DE221" s="1" t="s">
        <v>44</v>
      </c>
      <c r="DF221" s="1" t="s">
        <v>44</v>
      </c>
      <c r="DG221" s="1" t="s">
        <v>44</v>
      </c>
      <c r="DH221" s="1" t="s">
        <v>44</v>
      </c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</row>
    <row r="222" spans="1:12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>
        <v>0</v>
      </c>
      <c r="P222" s="1">
        <v>0</v>
      </c>
      <c r="Q222" s="1">
        <v>0</v>
      </c>
      <c r="R222" s="1">
        <v>0</v>
      </c>
      <c r="S222" s="1">
        <v>2</v>
      </c>
      <c r="T222" s="1">
        <v>2</v>
      </c>
      <c r="U222" s="1" t="s">
        <v>45</v>
      </c>
      <c r="V222" s="1"/>
      <c r="W222" s="1"/>
      <c r="X222" s="1"/>
      <c r="Y222" s="1"/>
      <c r="Z222" s="1">
        <v>-0.4902762556575655</v>
      </c>
      <c r="AA222" s="1">
        <v>2.98614916052984</v>
      </c>
      <c r="AB222" s="1">
        <v>-0.7144198473865813</v>
      </c>
      <c r="AC222" s="1">
        <v>0.7039551210985708</v>
      </c>
      <c r="AD222" s="1">
        <v>-0.7927006223738151</v>
      </c>
      <c r="AE222" s="1">
        <v>0.9118195598320384</v>
      </c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>
        <f>TRANSPOSE(CL215:CQ217)</f>
        <v>0</v>
      </c>
      <c r="CX222" s="1">
        <v>4.720722472191309</v>
      </c>
      <c r="CY222" s="1">
        <v>3.0488313112749488</v>
      </c>
      <c r="CZ222" s="1" t="s">
        <v>45</v>
      </c>
      <c r="DA222" s="1" cm="1">
        <f t="array" ref="DA222">MMULT(CW222:CY227,_xlfn.ANCHORARRAY(DA216))/SQRT(3)</f>
        <v>0</v>
      </c>
      <c r="DB222" s="1">
        <v>40.71230231296777</v>
      </c>
      <c r="DC222" s="1">
        <v>45.521250633942316</v>
      </c>
      <c r="DD222" s="1">
        <v>48.87452843617406</v>
      </c>
      <c r="DE222" s="1">
        <v>43.18616323170568</v>
      </c>
      <c r="DF222" s="1">
        <v>43.45141431240999</v>
      </c>
      <c r="DG222" s="1">
        <v>43.131890050375326</v>
      </c>
      <c r="DH222" s="1">
        <v>42.25950526748553</v>
      </c>
      <c r="DI222" s="1"/>
      <c r="DJ222" s="1"/>
      <c r="DK222" s="1">
        <f>SOFTMAX(DA222:DA227)</f>
        <v>0</v>
      </c>
      <c r="DL222" s="1">
        <f>SOFTMAX(DB222:DB227)</f>
        <v>0</v>
      </c>
      <c r="DM222" s="1">
        <f>SOFTMAX(DC222:DC227)</f>
        <v>0</v>
      </c>
      <c r="DN222" s="1">
        <f>SOFTMAX(DD222:DD227)</f>
        <v>0</v>
      </c>
      <c r="DO222" s="1">
        <f>SOFTMAX(DE222:DE227)</f>
        <v>0</v>
      </c>
      <c r="DP222" s="1">
        <f>SOFTMAX(DF222:DF227)</f>
        <v>0</v>
      </c>
      <c r="DQ222" s="1">
        <f>SOFTMAX(DG222:DG227)</f>
        <v>0</v>
      </c>
      <c r="DR222" s="1">
        <f>SOFTMAX(DH222:DH227)</f>
        <v>0</v>
      </c>
      <c r="DS222" s="1"/>
    </row>
    <row r="223" spans="1:1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>
        <v>6.022484567419268</v>
      </c>
      <c r="CX223" s="1">
        <v>2.709502074149368</v>
      </c>
      <c r="CY223" s="1">
        <v>3.594846691171424</v>
      </c>
      <c r="CZ223" s="1" t="s">
        <v>45</v>
      </c>
      <c r="DA223" s="1">
        <v>48.01655124792173</v>
      </c>
      <c r="DB223" s="1">
        <v>78.36873176613143</v>
      </c>
      <c r="DC223" s="1">
        <v>61.216539304603955</v>
      </c>
      <c r="DD223" s="1">
        <v>66.62331595223935</v>
      </c>
      <c r="DE223" s="1">
        <v>70.19643120235541</v>
      </c>
      <c r="DF223" s="1">
        <v>74.93187053233149</v>
      </c>
      <c r="DG223" s="1">
        <v>58.23078045665325</v>
      </c>
      <c r="DH223" s="1">
        <v>56.754478484823196</v>
      </c>
      <c r="DI223" s="1"/>
      <c r="DJ223" s="1"/>
      <c r="DK223" s="1">
        <v>0.4049566859124468</v>
      </c>
      <c r="DL223" s="1">
        <v>0.999990625885915</v>
      </c>
      <c r="DM223" s="1">
        <v>0.8948006780495322</v>
      </c>
      <c r="DN223" s="1">
        <v>0.9267125779799702</v>
      </c>
      <c r="DO223" s="1">
        <v>0.9994423921083636</v>
      </c>
      <c r="DP223" s="1">
        <v>0.99988632069345</v>
      </c>
      <c r="DQ223" s="1">
        <v>0.8738562123781829</v>
      </c>
      <c r="DR223" s="1">
        <v>0.8456110128902323</v>
      </c>
      <c r="DS223" s="1"/>
    </row>
    <row r="224" spans="1:12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 t="s">
        <v>59</v>
      </c>
      <c r="CD224" s="1"/>
      <c r="CE224" s="1"/>
      <c r="CF224" s="1"/>
      <c r="CG224" s="1"/>
      <c r="CH224" s="1"/>
      <c r="CI224" s="1"/>
      <c r="CJ224" s="1"/>
      <c r="CK224" s="1"/>
      <c r="CL224" s="1" t="s">
        <v>58</v>
      </c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>
        <v>-1.5309692052501758</v>
      </c>
      <c r="CX224" s="1">
        <v>5.554994549741247</v>
      </c>
      <c r="CY224" s="1">
        <v>1.6044307479040874</v>
      </c>
      <c r="CZ224" s="1" t="s">
        <v>45</v>
      </c>
      <c r="DA224" s="1">
        <v>36.01424002690823</v>
      </c>
      <c r="DB224" s="1">
        <v>34.2846201365181</v>
      </c>
      <c r="DC224" s="1">
        <v>41.53134460512694</v>
      </c>
      <c r="DD224" s="1">
        <v>44.20429309610515</v>
      </c>
      <c r="DE224" s="1">
        <v>38.686739139104404</v>
      </c>
      <c r="DF224" s="1">
        <v>38.047721788092495</v>
      </c>
      <c r="DG224" s="1">
        <v>39.09430168559486</v>
      </c>
      <c r="DH224" s="1">
        <v>38.25044712582203</v>
      </c>
      <c r="DI224" s="1"/>
      <c r="DJ224" s="1"/>
      <c r="DK224" s="1">
        <v>0.000002482395871373635</v>
      </c>
      <c r="DL224" s="1">
        <v>0.00000000000000000007153350555541399</v>
      </c>
      <c r="DM224" s="1">
        <v>0.0000000025267069291260548</v>
      </c>
      <c r="DN224" s="1">
        <v>0.00000000017001496153110362</v>
      </c>
      <c r="DO224" s="1">
        <v>0.000000000000020666759085519185</v>
      </c>
      <c r="DP224" s="1">
        <v>0.00000000000000009580062834549334</v>
      </c>
      <c r="DQ224" s="1">
        <v>0.000000004271425585512931</v>
      </c>
      <c r="DR224" s="1">
        <v>0.000000007779862443056136</v>
      </c>
      <c r="DS224" s="1"/>
    </row>
    <row r="225" spans="1:12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4">
        <v>0</v>
      </c>
      <c r="CA225" s="1"/>
      <c r="CB225" s="1"/>
      <c r="CC225" s="1">
        <v>1</v>
      </c>
      <c r="CD225" s="1">
        <v>0</v>
      </c>
      <c r="CE225" s="1">
        <v>0</v>
      </c>
      <c r="CF225" s="1">
        <v>0</v>
      </c>
      <c r="CG225" s="1">
        <v>1</v>
      </c>
      <c r="CH225" s="1" t="s">
        <v>45</v>
      </c>
      <c r="CI225" s="1"/>
      <c r="CJ225" s="1"/>
      <c r="CK225" s="1"/>
      <c r="CL225" s="1" cm="1">
        <f t="array" ref="CL225">MMULT(CC225:CG230,_xlfn.ANCHORARRAY(CL204))</f>
        <v>0</v>
      </c>
      <c r="CM225" s="1">
        <v>3.5446604448118353</v>
      </c>
      <c r="CN225" s="1">
        <v>1.7065602583811006</v>
      </c>
      <c r="CO225" s="1">
        <v>1.5884735259477087</v>
      </c>
      <c r="CP225" s="1">
        <v>1.5541740922326985</v>
      </c>
      <c r="CQ225" s="1">
        <v>1.9374291331345694</v>
      </c>
      <c r="CR225" s="1"/>
      <c r="CS225" s="1"/>
      <c r="CT225" s="1"/>
      <c r="CU225" s="1"/>
      <c r="CV225" s="1"/>
      <c r="CW225" s="1">
        <v>4.188518974022685</v>
      </c>
      <c r="CX225" s="1">
        <v>3.4634813105640885</v>
      </c>
      <c r="CY225" s="1">
        <v>4.369082257773252</v>
      </c>
      <c r="CZ225" s="1" t="s">
        <v>45</v>
      </c>
      <c r="DA225" s="1">
        <v>47.81010636798007</v>
      </c>
      <c r="DB225" s="1">
        <v>66.0411406441461</v>
      </c>
      <c r="DC225" s="1">
        <v>58.487355136027986</v>
      </c>
      <c r="DD225" s="1">
        <v>63.48472939982064</v>
      </c>
      <c r="DE225" s="1">
        <v>62.08053851363568</v>
      </c>
      <c r="DF225" s="1">
        <v>65.17848086076118</v>
      </c>
      <c r="DG225" s="1">
        <v>55.68786884857486</v>
      </c>
      <c r="DH225" s="1">
        <v>54.44170799455093</v>
      </c>
      <c r="DI225" s="1"/>
      <c r="DJ225" s="1"/>
      <c r="DK225" s="1">
        <v>0.32942056025384375</v>
      </c>
      <c r="DL225" s="1">
        <v>0.000004427831947192277</v>
      </c>
      <c r="DM225" s="1">
        <v>0.05840589454943179</v>
      </c>
      <c r="DN225" s="1">
        <v>0.040167447702668606</v>
      </c>
      <c r="DO225" s="1">
        <v>0.00029858662920836774</v>
      </c>
      <c r="DP225" s="1">
        <v>0.000058090794015620256</v>
      </c>
      <c r="DQ225" s="1">
        <v>0.06871752335088559</v>
      </c>
      <c r="DR225" s="1">
        <v>0.08370418430626281</v>
      </c>
      <c r="DS225" s="1"/>
    </row>
    <row r="226" spans="1:12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>
        <v>0</v>
      </c>
      <c r="CD226" s="1">
        <v>1</v>
      </c>
      <c r="CE226" s="1">
        <v>1</v>
      </c>
      <c r="CF226" s="1">
        <v>0</v>
      </c>
      <c r="CG226" s="1">
        <v>0</v>
      </c>
      <c r="CH226" s="1" t="s">
        <v>45</v>
      </c>
      <c r="CI226" s="1"/>
      <c r="CJ226" s="1"/>
      <c r="CK226" s="1"/>
      <c r="CL226" s="1">
        <v>5.037811078329029</v>
      </c>
      <c r="CM226" s="1">
        <v>5.1695482813276925</v>
      </c>
      <c r="CN226" s="1">
        <v>3.5671735372778897</v>
      </c>
      <c r="CO226" s="1">
        <v>6.426003450418472</v>
      </c>
      <c r="CP226" s="1">
        <v>3.9155222216318664</v>
      </c>
      <c r="CQ226" s="1">
        <v>6.439566351080366</v>
      </c>
      <c r="CR226" s="1"/>
      <c r="CS226" s="1"/>
      <c r="CT226" s="1"/>
      <c r="CU226" s="1"/>
      <c r="CV226" s="1"/>
      <c r="CW226" s="1">
        <v>-1.2752053538172614</v>
      </c>
      <c r="CX226" s="1">
        <v>5.464165319605373</v>
      </c>
      <c r="CY226" s="1">
        <v>1.8643699831630673</v>
      </c>
      <c r="CZ226" s="1" t="s">
        <v>45</v>
      </c>
      <c r="DA226" s="1">
        <v>36.80626409843006</v>
      </c>
      <c r="DB226" s="1">
        <v>35.48977320797712</v>
      </c>
      <c r="DC226" s="1">
        <v>42.475968583007564</v>
      </c>
      <c r="DD226" s="1">
        <v>45.27803840422124</v>
      </c>
      <c r="DE226" s="1">
        <v>39.64351960417435</v>
      </c>
      <c r="DF226" s="1">
        <v>39.13472684677406</v>
      </c>
      <c r="DG226" s="1">
        <v>40.03070309954441</v>
      </c>
      <c r="DH226" s="1">
        <v>39.178088702184624</v>
      </c>
      <c r="DI226" s="1"/>
      <c r="DJ226" s="1"/>
      <c r="DK226" s="1">
        <v>0.000005480784471856384</v>
      </c>
      <c r="DL226" s="1">
        <v>0.0000000000000000002387266134824032</v>
      </c>
      <c r="DM226" s="1">
        <v>0.0000000064983014264890445</v>
      </c>
      <c r="DN226" s="1">
        <v>0.0000000004975180066924264</v>
      </c>
      <c r="DO226" s="1">
        <v>0.000000000000053801805889132584</v>
      </c>
      <c r="DP226" s="1">
        <v>0.00000000000000028408523107797278</v>
      </c>
      <c r="DQ226" s="1">
        <v>0.000000010895491134248117</v>
      </c>
      <c r="DR226" s="1">
        <v>0.000000019671683846777743</v>
      </c>
      <c r="DS226" s="1"/>
    </row>
    <row r="227" spans="1:12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>
        <v>0</v>
      </c>
      <c r="CD227" s="1">
        <v>1</v>
      </c>
      <c r="CE227" s="1">
        <v>0</v>
      </c>
      <c r="CF227" s="1">
        <v>1</v>
      </c>
      <c r="CG227" s="1">
        <v>0</v>
      </c>
      <c r="CH227" s="1" t="s">
        <v>45</v>
      </c>
      <c r="CI227" s="1"/>
      <c r="CJ227" s="1"/>
      <c r="CK227" s="1"/>
      <c r="CL227" s="1">
        <v>4.720722472191309</v>
      </c>
      <c r="CM227" s="1">
        <v>2.709502074149368</v>
      </c>
      <c r="CN227" s="1">
        <v>5.554994549741247</v>
      </c>
      <c r="CO227" s="1">
        <v>3.4634813105640885</v>
      </c>
      <c r="CP227" s="1">
        <v>5.464165319605373</v>
      </c>
      <c r="CQ227" s="1">
        <v>3.2959495540104435</v>
      </c>
      <c r="CR227" s="1"/>
      <c r="CS227" s="1"/>
      <c r="CT227" s="1"/>
      <c r="CU227" s="1"/>
      <c r="CV227" s="1"/>
      <c r="CW227" s="1">
        <v>4.382491318676579</v>
      </c>
      <c r="CX227" s="1">
        <v>3.2959495540104435</v>
      </c>
      <c r="CY227" s="1">
        <v>4.496281332147072</v>
      </c>
      <c r="CZ227" s="1" t="s">
        <v>45</v>
      </c>
      <c r="DA227" s="1">
        <v>47.59459514860591</v>
      </c>
      <c r="DB227" s="1">
        <v>66.15186679342301</v>
      </c>
      <c r="DC227" s="1">
        <v>58.2656779587297</v>
      </c>
      <c r="DD227" s="1">
        <v>63.29180847694591</v>
      </c>
      <c r="DE227" s="1">
        <v>61.93838855298479</v>
      </c>
      <c r="DF227" s="1">
        <v>65.134450230567</v>
      </c>
      <c r="DG227" s="1">
        <v>55.508361894889006</v>
      </c>
      <c r="DH227" s="1">
        <v>54.27264317075033</v>
      </c>
      <c r="DI227" s="1"/>
      <c r="DJ227" s="1"/>
      <c r="DK227" s="1">
        <v>0.26555554124680336</v>
      </c>
      <c r="DL227" s="1">
        <v>0.000004946282137771879</v>
      </c>
      <c r="DM227" s="1">
        <v>0.04679328180799821</v>
      </c>
      <c r="DN227" s="1">
        <v>0.03311995550534615</v>
      </c>
      <c r="DO227" s="1">
        <v>0.00025902126049423346</v>
      </c>
      <c r="DP227" s="1">
        <v>0.00005558851251298952</v>
      </c>
      <c r="DQ227" s="1">
        <v>0.05742600695918965</v>
      </c>
      <c r="DR227" s="1">
        <v>0.07068434672079146</v>
      </c>
      <c r="DS227" s="1"/>
    </row>
    <row r="228" spans="1:12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3">
        <v>1</v>
      </c>
      <c r="CA228" s="1"/>
      <c r="CB228" s="1"/>
      <c r="CC228" s="1">
        <v>1</v>
      </c>
      <c r="CD228" s="1">
        <v>1</v>
      </c>
      <c r="CE228" s="1">
        <v>0</v>
      </c>
      <c r="CF228" s="1">
        <v>0</v>
      </c>
      <c r="CG228" s="1">
        <v>1</v>
      </c>
      <c r="CH228" s="1" t="s">
        <v>45</v>
      </c>
      <c r="CI228" s="1"/>
      <c r="CJ228" s="1"/>
      <c r="CK228" s="1"/>
      <c r="CL228" s="1">
        <v>6.260811429079638</v>
      </c>
      <c r="CM228" s="1">
        <v>5.677873319250098</v>
      </c>
      <c r="CN228" s="1">
        <v>6.090283153522584</v>
      </c>
      <c r="CO228" s="1">
        <v>4.529913123442066</v>
      </c>
      <c r="CP228" s="1">
        <v>5.952201045308012</v>
      </c>
      <c r="CQ228" s="1">
        <v>4.906323725370395</v>
      </c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</row>
    <row r="229" spans="1:12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>
        <v>1</v>
      </c>
      <c r="CD229" s="1">
        <v>0</v>
      </c>
      <c r="CE229" s="1">
        <v>1</v>
      </c>
      <c r="CF229" s="1">
        <v>1</v>
      </c>
      <c r="CG229" s="1">
        <v>0</v>
      </c>
      <c r="CH229" s="1" t="s">
        <v>45</v>
      </c>
      <c r="CI229" s="1"/>
      <c r="CJ229" s="1"/>
      <c r="CK229" s="1"/>
      <c r="CL229" s="1">
        <v>3.3995200575706157</v>
      </c>
      <c r="CM229" s="1">
        <v>4.171135890882529</v>
      </c>
      <c r="CN229" s="1">
        <v>2.77570240250385</v>
      </c>
      <c r="CO229" s="1">
        <v>4.891123970842983</v>
      </c>
      <c r="CP229" s="1">
        <v>2.930508349693128</v>
      </c>
      <c r="CQ229" s="1">
        <v>4.823336293921691</v>
      </c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</row>
    <row r="230" spans="1:12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>
        <v>0</v>
      </c>
      <c r="CD230" s="1">
        <v>1</v>
      </c>
      <c r="CE230" s="1">
        <v>1</v>
      </c>
      <c r="CF230" s="1">
        <v>1</v>
      </c>
      <c r="CG230" s="1">
        <v>0</v>
      </c>
      <c r="CH230" s="1" t="s">
        <v>45</v>
      </c>
      <c r="CI230" s="1"/>
      <c r="CJ230" s="1"/>
      <c r="CK230" s="1"/>
      <c r="CL230" s="1">
        <v>5.388499824624696</v>
      </c>
      <c r="CM230" s="1">
        <v>5.745837481038797</v>
      </c>
      <c r="CN230" s="1">
        <v>4.738445191877652</v>
      </c>
      <c r="CO230" s="1">
        <v>6.948045163488203</v>
      </c>
      <c r="CP230" s="1">
        <v>4.981660588161927</v>
      </c>
      <c r="CQ230" s="1">
        <v>6.766621312854984</v>
      </c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</row>
    <row r="231" spans="1:12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3" t="s">
        <v>58</v>
      </c>
      <c r="DB231" s="1"/>
      <c r="DC231" s="1"/>
      <c r="DD231" s="1"/>
      <c r="DE231" s="1"/>
      <c r="DF231" s="1"/>
      <c r="DG231" s="1"/>
      <c r="DH231" s="1"/>
      <c r="DI231" s="1"/>
      <c r="DJ231" s="1"/>
      <c r="DK231" s="1" t="s">
        <v>44</v>
      </c>
      <c r="DL231" s="1" t="s">
        <v>44</v>
      </c>
      <c r="DM231" s="1" t="s">
        <v>44</v>
      </c>
      <c r="DN231" s="1" t="s">
        <v>44</v>
      </c>
      <c r="DO231" s="1" t="s">
        <v>44</v>
      </c>
      <c r="DP231" s="1" t="s">
        <v>44</v>
      </c>
      <c r="DQ231" s="1" t="s">
        <v>44</v>
      </c>
      <c r="DR231" s="1" t="s">
        <v>44</v>
      </c>
      <c r="DS231" s="1"/>
    </row>
    <row r="232" spans="1:12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>
        <f>CL228:CQ230</f>
        <v>0</v>
      </c>
      <c r="DB232" s="1">
        <v>5.677873319250098</v>
      </c>
      <c r="DC232" s="1">
        <v>6.090283153522584</v>
      </c>
      <c r="DD232" s="1">
        <v>4.529913123442066</v>
      </c>
      <c r="DE232" s="1">
        <v>5.952201045308012</v>
      </c>
      <c r="DF232" s="1">
        <v>4.906323725370395</v>
      </c>
      <c r="DG232" s="1"/>
      <c r="DH232" s="1"/>
      <c r="DI232" s="1"/>
      <c r="DJ232" s="1" t="s">
        <v>45</v>
      </c>
      <c r="DK232" s="6" cm="1">
        <f t="array" ref="DK232">MMULT(_xlfn.ANCHORARRAY(DA232),DK222:DR227)</f>
        <v>0</v>
      </c>
      <c r="DL232" s="6">
        <v>5.677864419973295</v>
      </c>
      <c r="DM232" s="6">
        <v>5.574722421966943</v>
      </c>
      <c r="DN232" s="6">
        <v>5.60620901068448</v>
      </c>
      <c r="DO232" s="6">
        <v>5.677330705937533</v>
      </c>
      <c r="DP232" s="6">
        <v>5.677763744036586</v>
      </c>
      <c r="DQ232" s="6">
        <v>5.554681471247236</v>
      </c>
      <c r="DR232" s="6">
        <v>5.527248026908273</v>
      </c>
      <c r="DS232" s="1"/>
    </row>
    <row r="233" spans="1:12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>
        <v>3.3995200575706157</v>
      </c>
      <c r="DB233" s="1">
        <v>4.171135890882529</v>
      </c>
      <c r="DC233" s="1">
        <v>2.77570240250385</v>
      </c>
      <c r="DD233" s="1">
        <v>4.891123970842983</v>
      </c>
      <c r="DE233" s="1">
        <v>2.930508349693128</v>
      </c>
      <c r="DF233" s="1">
        <v>4.823336293921691</v>
      </c>
      <c r="DG233" s="1"/>
      <c r="DH233" s="1"/>
      <c r="DI233" s="1"/>
      <c r="DJ233" s="1" t="s">
        <v>45</v>
      </c>
      <c r="DK233" s="6">
        <v>4.581454217178928</v>
      </c>
      <c r="DL233" s="6">
        <v>4.171142304835955</v>
      </c>
      <c r="DM233" s="6">
        <v>4.243705919046372</v>
      </c>
      <c r="DN233" s="6">
        <v>4.221656807905062</v>
      </c>
      <c r="DO233" s="6">
        <v>4.171519803465355</v>
      </c>
      <c r="DP233" s="6">
        <v>4.171213970412025</v>
      </c>
      <c r="DQ233" s="6">
        <v>4.2580647471427655</v>
      </c>
      <c r="DR233" s="6">
        <v>4.277501899245603</v>
      </c>
      <c r="DS233" s="1"/>
    </row>
    <row r="234" spans="1:12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>
        <v>5.388499824624696</v>
      </c>
      <c r="DB234" s="1">
        <v>5.745837481038797</v>
      </c>
      <c r="DC234" s="1">
        <v>4.738445191877652</v>
      </c>
      <c r="DD234" s="1">
        <v>6.948045163488203</v>
      </c>
      <c r="DE234" s="1">
        <v>4.981660588161927</v>
      </c>
      <c r="DF234" s="1">
        <v>6.766621312854984</v>
      </c>
      <c r="DG234" s="1"/>
      <c r="DH234" s="1"/>
      <c r="DI234" s="1"/>
      <c r="DJ234" s="1" t="s">
        <v>45</v>
      </c>
      <c r="DK234" s="6">
        <v>6.412916351207296</v>
      </c>
      <c r="DL234" s="6">
        <v>5.745847853297215</v>
      </c>
      <c r="DM234" s="6">
        <v>5.863819265361541</v>
      </c>
      <c r="DN234" s="6">
        <v>5.827935403306489</v>
      </c>
      <c r="DO234" s="6">
        <v>5.74646084889239</v>
      </c>
      <c r="DP234" s="6">
        <v>5.745964062092445</v>
      </c>
      <c r="DQ234" s="6">
        <v>5.887069655803284</v>
      </c>
      <c r="DR234" s="6">
        <v>5.918620556723944</v>
      </c>
      <c r="DS234" s="1"/>
    </row>
    <row r="235" spans="1:12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</row>
    <row r="236" spans="1:12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</row>
    <row r="237" spans="1:12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6" cm="1">
        <f t="array" ref="DK237">_xlfn.ANCHORARRAY(DK207)</f>
        <v>0</v>
      </c>
      <c r="DL237" s="6">
        <v>3.544627863839848</v>
      </c>
      <c r="DM237" s="6">
        <v>3.5440025902720333</v>
      </c>
      <c r="DN237" s="6">
        <v>3.5441856579997526</v>
      </c>
      <c r="DO237" s="6">
        <v>3.544576863439791</v>
      </c>
      <c r="DP237" s="6">
        <v>3.544633769000451</v>
      </c>
      <c r="DQ237" s="6">
        <v>3.5437949504360566</v>
      </c>
      <c r="DR237" s="6">
        <v>3.543683974020623</v>
      </c>
      <c r="DS237" s="1"/>
    </row>
    <row r="238" spans="1:12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6">
        <v>5.12619380728705</v>
      </c>
      <c r="DL238" s="6">
        <v>5.1695736601025075</v>
      </c>
      <c r="DM238" s="6">
        <v>5.169971813180928</v>
      </c>
      <c r="DN238" s="6">
        <v>5.169902988586852</v>
      </c>
      <c r="DO238" s="6">
        <v>5.16961196276993</v>
      </c>
      <c r="DP238" s="6">
        <v>5.169568949048929</v>
      </c>
      <c r="DQ238" s="6">
        <v>5.169974358832331</v>
      </c>
      <c r="DR238" s="6">
        <v>5.16991308347351</v>
      </c>
      <c r="DS238" s="1"/>
    </row>
    <row r="239" spans="1:12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6">
        <v>2.8134648273826057</v>
      </c>
      <c r="DL239" s="6">
        <v>2.7095140229740693</v>
      </c>
      <c r="DM239" s="6">
        <v>2.709808922545649</v>
      </c>
      <c r="DN239" s="6">
        <v>2.7096851271168636</v>
      </c>
      <c r="DO239" s="6">
        <v>2.7095334408562017</v>
      </c>
      <c r="DP239" s="6">
        <v>2.709511898515859</v>
      </c>
      <c r="DQ239" s="6">
        <v>2.7100057862712172</v>
      </c>
      <c r="DR239" s="6">
        <v>2.710157426764385</v>
      </c>
      <c r="DS239" s="1"/>
    </row>
    <row r="240" spans="1:12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6" cm="1">
        <f t="array" ref="DK240">_xlfn.ANCHORARRAY(DK232)</f>
        <v>0</v>
      </c>
      <c r="DL240" s="6">
        <v>5.677864419973295</v>
      </c>
      <c r="DM240" s="6">
        <v>5.574722421966943</v>
      </c>
      <c r="DN240" s="6">
        <v>5.60620901068448</v>
      </c>
      <c r="DO240" s="6">
        <v>5.677330705937533</v>
      </c>
      <c r="DP240" s="6">
        <v>5.677763744036586</v>
      </c>
      <c r="DQ240" s="6">
        <v>5.554681471247236</v>
      </c>
      <c r="DR240" s="6">
        <v>5.527248026908273</v>
      </c>
      <c r="DS240" s="1"/>
    </row>
    <row r="241" spans="1:12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6">
        <v>4.581454217178928</v>
      </c>
      <c r="DL241" s="6">
        <v>4.171142304835955</v>
      </c>
      <c r="DM241" s="6">
        <v>4.243705919046372</v>
      </c>
      <c r="DN241" s="6">
        <v>4.221656807905062</v>
      </c>
      <c r="DO241" s="6">
        <v>4.171519803465355</v>
      </c>
      <c r="DP241" s="6">
        <v>4.171213970412025</v>
      </c>
      <c r="DQ241" s="6">
        <v>4.2580647471427655</v>
      </c>
      <c r="DR241" s="6">
        <v>4.277501899245603</v>
      </c>
      <c r="DS241" s="1"/>
    </row>
    <row r="242" spans="1:12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6">
        <v>6.412916351207296</v>
      </c>
      <c r="DL242" s="6">
        <v>5.745847853297215</v>
      </c>
      <c r="DM242" s="6">
        <v>5.863819265361541</v>
      </c>
      <c r="DN242" s="6">
        <v>5.827935403306489</v>
      </c>
      <c r="DO242" s="6">
        <v>5.74646084889239</v>
      </c>
      <c r="DP242" s="6">
        <v>5.745964062092445</v>
      </c>
      <c r="DQ242" s="6">
        <v>5.887069655803284</v>
      </c>
      <c r="DR242" s="6">
        <v>5.918620556723944</v>
      </c>
      <c r="DS242" s="1"/>
    </row>
    <row r="243" spans="1:12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3" t="s">
        <v>60</v>
      </c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 t="s">
        <v>44</v>
      </c>
      <c r="DL243" s="1" t="s">
        <v>44</v>
      </c>
      <c r="DM243" s="1" t="s">
        <v>44</v>
      </c>
      <c r="DN243" s="1" t="s">
        <v>44</v>
      </c>
      <c r="DO243" s="1" t="s">
        <v>44</v>
      </c>
      <c r="DP243" s="1" t="s">
        <v>44</v>
      </c>
      <c r="DQ243" s="1" t="s">
        <v>44</v>
      </c>
      <c r="DR243" s="1" t="s">
        <v>44</v>
      </c>
      <c r="DS243" s="1"/>
    </row>
    <row r="244" spans="1:12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>
        <v>0</v>
      </c>
      <c r="CC244" s="1">
        <v>0</v>
      </c>
      <c r="CD244" s="1">
        <v>1</v>
      </c>
      <c r="CE244" s="1">
        <v>1</v>
      </c>
      <c r="CF244" s="1">
        <v>0</v>
      </c>
      <c r="CG244" s="1">
        <v>-1</v>
      </c>
      <c r="CH244" s="1" t="s">
        <v>45</v>
      </c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>
        <f>MMULT(CB244:CG249,DK237:DR242)</f>
        <v>0</v>
      </c>
      <c r="DL244" s="1">
        <v>2.6415305896501495</v>
      </c>
      <c r="DM244" s="1">
        <v>2.420712079151051</v>
      </c>
      <c r="DN244" s="1">
        <v>2.487958734494855</v>
      </c>
      <c r="DO244" s="1">
        <v>2.6404032979013436</v>
      </c>
      <c r="DP244" s="1">
        <v>2.641311580460001</v>
      </c>
      <c r="DQ244" s="1">
        <v>2.377617601715169</v>
      </c>
      <c r="DR244" s="1">
        <v>2.3187848969487135</v>
      </c>
      <c r="DS244" s="1"/>
    </row>
    <row r="245" spans="1:12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>
        <v>0</v>
      </c>
      <c r="CC245" s="1">
        <v>1</v>
      </c>
      <c r="CD245" s="1">
        <v>1</v>
      </c>
      <c r="CE245" s="1">
        <v>0</v>
      </c>
      <c r="CF245" s="1">
        <v>1</v>
      </c>
      <c r="CG245" s="1">
        <v>0</v>
      </c>
      <c r="CH245" s="1" t="s">
        <v>45</v>
      </c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>
        <v>12.521112851848585</v>
      </c>
      <c r="DL245" s="1">
        <v>12.050229987912532</v>
      </c>
      <c r="DM245" s="1">
        <v>12.123486654772949</v>
      </c>
      <c r="DN245" s="1">
        <v>12.101244923608778</v>
      </c>
      <c r="DO245" s="1">
        <v>12.050665207091487</v>
      </c>
      <c r="DP245" s="1">
        <v>12.050294817976813</v>
      </c>
      <c r="DQ245" s="1">
        <v>12.138044892246313</v>
      </c>
      <c r="DR245" s="1">
        <v>12.157572409483498</v>
      </c>
      <c r="DS245" s="1"/>
    </row>
    <row r="246" spans="1:12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>
        <v>0</v>
      </c>
      <c r="CC246" s="1">
        <v>1</v>
      </c>
      <c r="CD246" s="1">
        <v>0</v>
      </c>
      <c r="CE246" s="1">
        <v>0</v>
      </c>
      <c r="CF246" s="1">
        <v>1</v>
      </c>
      <c r="CG246" s="1">
        <v>1</v>
      </c>
      <c r="CH246" s="1" t="s">
        <v>45</v>
      </c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>
        <v>16.120564375673275</v>
      </c>
      <c r="DL246" s="1">
        <v>15.086563818235678</v>
      </c>
      <c r="DM246" s="1">
        <v>15.277496997588841</v>
      </c>
      <c r="DN246" s="1">
        <v>15.219495199798404</v>
      </c>
      <c r="DO246" s="1">
        <v>15.087592615127676</v>
      </c>
      <c r="DP246" s="1">
        <v>15.0867469815534</v>
      </c>
      <c r="DQ246" s="1">
        <v>15.31510876177838</v>
      </c>
      <c r="DR246" s="1">
        <v>15.366035539443057</v>
      </c>
      <c r="DS246" s="1"/>
    </row>
    <row r="247" spans="1:12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>
        <v>-1</v>
      </c>
      <c r="CC247" s="1">
        <v>0</v>
      </c>
      <c r="CD247" s="1">
        <v>0</v>
      </c>
      <c r="CE247" s="1">
        <v>1</v>
      </c>
      <c r="CF247" s="1">
        <v>0</v>
      </c>
      <c r="CG247" s="1">
        <v>1</v>
      </c>
      <c r="CH247" s="1" t="s">
        <v>45</v>
      </c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>
        <v>8.040108360668514</v>
      </c>
      <c r="DL247" s="1">
        <v>7.879084409430662</v>
      </c>
      <c r="DM247" s="1">
        <v>7.89453909705645</v>
      </c>
      <c r="DN247" s="1">
        <v>7.889958755991216</v>
      </c>
      <c r="DO247" s="1">
        <v>7.879214691390132</v>
      </c>
      <c r="DP247" s="1">
        <v>7.87909403712858</v>
      </c>
      <c r="DQ247" s="1">
        <v>7.897956176614464</v>
      </c>
      <c r="DR247" s="1">
        <v>7.902184609611594</v>
      </c>
      <c r="DS247" s="1"/>
    </row>
    <row r="248" spans="1:12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>
        <v>1</v>
      </c>
      <c r="CC248" s="1">
        <v>0</v>
      </c>
      <c r="CD248" s="1">
        <v>0</v>
      </c>
      <c r="CE248" s="1">
        <v>-1</v>
      </c>
      <c r="CF248" s="1">
        <v>0</v>
      </c>
      <c r="CG248" s="1">
        <v>1</v>
      </c>
      <c r="CH248" s="1" t="s">
        <v>45</v>
      </c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>
        <v>4.785724341746079</v>
      </c>
      <c r="DL248" s="1">
        <v>3.6126112971637676</v>
      </c>
      <c r="DM248" s="1">
        <v>3.8330994336666318</v>
      </c>
      <c r="DN248" s="1">
        <v>3.7659120506217616</v>
      </c>
      <c r="DO248" s="1">
        <v>3.613707006394648</v>
      </c>
      <c r="DP248" s="1">
        <v>3.61283408705631</v>
      </c>
      <c r="DQ248" s="1">
        <v>3.8761831349921043</v>
      </c>
      <c r="DR248" s="1">
        <v>3.935056503836294</v>
      </c>
      <c r="DS248" s="1"/>
    </row>
    <row r="249" spans="1:12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>
        <v>1</v>
      </c>
      <c r="CC249" s="1">
        <v>0</v>
      </c>
      <c r="CD249" s="1">
        <v>-1</v>
      </c>
      <c r="CE249" s="1">
        <v>0</v>
      </c>
      <c r="CF249" s="1">
        <v>1</v>
      </c>
      <c r="CG249" s="1">
        <v>0</v>
      </c>
      <c r="CH249" s="1" t="s">
        <v>45</v>
      </c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>
        <v>5.235656804764213</v>
      </c>
      <c r="DL249" s="1">
        <v>5.006256145701734</v>
      </c>
      <c r="DM249" s="1">
        <v>5.077899586772756</v>
      </c>
      <c r="DN249" s="1">
        <v>5.056157338787951</v>
      </c>
      <c r="DO249" s="1">
        <v>5.006563226048944</v>
      </c>
      <c r="DP249" s="1">
        <v>5.006335840896617</v>
      </c>
      <c r="DQ249" s="1">
        <v>5.091853911307605</v>
      </c>
      <c r="DR249" s="1">
        <v>5.111028446501841</v>
      </c>
      <c r="DS249" s="1"/>
    </row>
    <row r="250" spans="1:12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</row>
    <row r="251" spans="1:12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</row>
    <row r="252" spans="1:12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</row>
    <row r="253" spans="1:12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</row>
    <row r="254" spans="1:12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</row>
    <row r="255" spans="1:12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</row>
    <row r="256" spans="1:12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</row>
    <row r="257" spans="1:12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8"/>
      <c r="DP257" s="1"/>
      <c r="DQ257" s="1"/>
      <c r="DR257" s="1"/>
      <c r="DS257" s="1"/>
    </row>
    <row r="258" spans="1:12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 cm="1">
        <f t="array" ref="CL258">_xlfn.ANCHORARRAY(DK244)+_xlfn.ANCHORARRAY(CL177)</f>
        <v>0</v>
      </c>
      <c r="CM258" s="1">
        <v>3.1338187466594882</v>
      </c>
      <c r="CN258" s="1">
        <v>4.3843629050885236</v>
      </c>
      <c r="CO258" s="1">
        <v>4.348054407215303</v>
      </c>
      <c r="CP258" s="1">
        <v>3.762789464233323</v>
      </c>
      <c r="CQ258" s="1">
        <v>3.531668577802013</v>
      </c>
      <c r="CR258" s="1">
        <v>4.314590347311875</v>
      </c>
      <c r="CS258" s="1">
        <v>4.312439229661993</v>
      </c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</row>
    <row r="259" spans="1:12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>
        <v>17.763043852075537</v>
      </c>
      <c r="CM259" s="1">
        <v>15.919107092506461</v>
      </c>
      <c r="CN259" s="1">
        <v>17.061925853310356</v>
      </c>
      <c r="CO259" s="1">
        <v>16.780846938929503</v>
      </c>
      <c r="CP259" s="1">
        <v>16.572289510425144</v>
      </c>
      <c r="CQ259" s="1">
        <v>16.162601577916547</v>
      </c>
      <c r="CR259" s="1">
        <v>17.43429856489875</v>
      </c>
      <c r="CS259" s="1">
        <v>17.470412803090305</v>
      </c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</row>
    <row r="260" spans="1:12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>
        <v>11.109290525495386</v>
      </c>
      <c r="CM260" s="1">
        <v>12.314349740648192</v>
      </c>
      <c r="CN260" s="1">
        <v>10.002430333812864</v>
      </c>
      <c r="CO260" s="1">
        <v>10.271515894931868</v>
      </c>
      <c r="CP260" s="1">
        <v>9.976439263142467</v>
      </c>
      <c r="CQ260" s="1">
        <v>10.872548763836168</v>
      </c>
      <c r="CR260" s="1">
        <v>10.612024600477206</v>
      </c>
      <c r="CS260" s="1">
        <v>10.795507184653388</v>
      </c>
      <c r="CT260" s="1"/>
      <c r="CU260" s="1"/>
      <c r="CV260" s="1"/>
      <c r="CW260" s="1"/>
      <c r="CX260" s="1"/>
      <c r="CY260" s="1"/>
      <c r="CZ260" s="1"/>
      <c r="DA260" s="2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</row>
    <row r="261" spans="1:12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>
        <v>9.09429900897119</v>
      </c>
      <c r="CM261" s="1">
        <v>11.718247276558607</v>
      </c>
      <c r="CN261" s="1">
        <v>10.599712290560944</v>
      </c>
      <c r="CO261" s="1">
        <v>12.012795616354843</v>
      </c>
      <c r="CP261" s="1">
        <v>11.129679939080834</v>
      </c>
      <c r="CQ261" s="1">
        <v>11.247599612038034</v>
      </c>
      <c r="CR261" s="1">
        <v>9.29026382920332</v>
      </c>
      <c r="CS261" s="1">
        <v>8.818081554982708</v>
      </c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</row>
    <row r="262" spans="1:12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>
        <v>4.173923526222432</v>
      </c>
      <c r="CM262" s="1">
        <v>7.158130441128775</v>
      </c>
      <c r="CN262" s="1">
        <v>3.7254500034152156</v>
      </c>
      <c r="CO262" s="1">
        <v>3.254615099924186</v>
      </c>
      <c r="CP262" s="1">
        <v>6.193493834234852</v>
      </c>
      <c r="CQ262" s="1">
        <v>6.436175080878722</v>
      </c>
      <c r="CR262" s="1">
        <v>3.621877147413008</v>
      </c>
      <c r="CS262" s="1">
        <v>3.6124483211134857</v>
      </c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</row>
    <row r="263" spans="1:12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>
        <v>11.057142479128032</v>
      </c>
      <c r="CM263" s="1">
        <v>13.566828399070374</v>
      </c>
      <c r="CN263" s="1">
        <v>12.436769384771614</v>
      </c>
      <c r="CO263" s="1">
        <v>12.257932395975413</v>
      </c>
      <c r="CP263" s="1">
        <v>13.504314543545462</v>
      </c>
      <c r="CQ263" s="1">
        <v>14.143849909296282</v>
      </c>
      <c r="CR263" s="1">
        <v>12.470786035204464</v>
      </c>
      <c r="CS263" s="1">
        <v>12.561179525437913</v>
      </c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</row>
    <row r="264" spans="1:12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</row>
    <row r="265" spans="1:12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3" t="s">
        <v>61</v>
      </c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</row>
    <row r="266" spans="1:12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>
        <f>NORMALIZE(CL258:CL263)</f>
        <v>0</v>
      </c>
      <c r="CM266" s="1">
        <f>NORMALIZE(CM258:CM263)</f>
        <v>0</v>
      </c>
      <c r="CN266" s="1">
        <f>NORMALIZE(CN258:CN263)</f>
        <v>0</v>
      </c>
      <c r="CO266" s="1">
        <f>NORMALIZE(CO258:CO263)</f>
        <v>0</v>
      </c>
      <c r="CP266" s="1">
        <f>NORMALIZE(CP258:CP263)</f>
        <v>0</v>
      </c>
      <c r="CQ266" s="1">
        <f>NORMALIZE(CQ258:CQ263)</f>
        <v>0</v>
      </c>
      <c r="CR266" s="1">
        <f>NORMALIZE(CR258:CR263)</f>
        <v>0</v>
      </c>
      <c r="CS266" s="1">
        <f>NORMALIZE(CS258:CS263)</f>
        <v>0</v>
      </c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</row>
    <row r="267" spans="1:12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>
        <v>1.601234281379266</v>
      </c>
      <c r="CM267" s="1">
        <v>1.1321606364031493</v>
      </c>
      <c r="CN267" s="1">
        <v>1.4627544252096416</v>
      </c>
      <c r="CO267" s="1">
        <v>1.3519719272231594</v>
      </c>
      <c r="CP267" s="1">
        <v>1.3608992878938884</v>
      </c>
      <c r="CQ267" s="1">
        <v>1.2226969785822266</v>
      </c>
      <c r="CR267" s="1">
        <v>1.506114761596181</v>
      </c>
      <c r="CS267" s="1">
        <v>1.5066431536928382</v>
      </c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</row>
    <row r="268" spans="1:12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>
        <v>0.30655730190106056</v>
      </c>
      <c r="CM268" s="1">
        <v>0.35980187962459614</v>
      </c>
      <c r="CN268" s="1">
        <v>0.0597521366730571</v>
      </c>
      <c r="CO268" s="1">
        <v>0.08752137103320022</v>
      </c>
      <c r="CP268" s="1">
        <v>-0.04550119366572318</v>
      </c>
      <c r="CQ268" s="1">
        <v>0.10044477879226477</v>
      </c>
      <c r="CR268" s="1">
        <v>0.19053220442591012</v>
      </c>
      <c r="CS268" s="1">
        <v>0.22966685960649263</v>
      </c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</row>
    <row r="269" spans="1:12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>
        <v>-0.08551661521672173</v>
      </c>
      <c r="CM269" s="1">
        <v>0.23208039572512568</v>
      </c>
      <c r="CN269" s="1">
        <v>0.17845579614911208</v>
      </c>
      <c r="CO269" s="1">
        <v>0.425768434725845</v>
      </c>
      <c r="CP269" s="1">
        <v>0.2003986041142583</v>
      </c>
      <c r="CQ269" s="1">
        <v>0.18000951173922772</v>
      </c>
      <c r="CR269" s="1">
        <v>-0.06435134679296649</v>
      </c>
      <c r="CS269" s="1">
        <v>-0.14863446729669436</v>
      </c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</row>
    <row r="270" spans="1:12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>
        <v>-1.0429156282603773</v>
      </c>
      <c r="CM270" s="1">
        <v>-0.7449745974388118</v>
      </c>
      <c r="CN270" s="1">
        <v>-1.1877332883582628</v>
      </c>
      <c r="CO270" s="1">
        <v>-1.275525623044438</v>
      </c>
      <c r="CP270" s="1">
        <v>-0.8521199120214416</v>
      </c>
      <c r="CQ270" s="1">
        <v>-0.8407046387593989</v>
      </c>
      <c r="CR270" s="1">
        <v>-1.1574224671773703</v>
      </c>
      <c r="CS270" s="1">
        <v>-1.1445242394303858</v>
      </c>
      <c r="CT270" s="1"/>
      <c r="CU270" s="1"/>
      <c r="CV270" s="1"/>
      <c r="CW270" s="1"/>
      <c r="CX270" s="1"/>
      <c r="CY270" s="1"/>
      <c r="CZ270" s="1"/>
      <c r="DA270" s="1"/>
      <c r="DB270" s="1"/>
      <c r="DC270" s="7"/>
      <c r="DD270" s="7"/>
      <c r="DE270" s="7"/>
      <c r="DF270" s="7"/>
      <c r="DG270" s="7"/>
      <c r="DH270" s="7"/>
      <c r="DI270" s="7"/>
      <c r="DJ270" s="7"/>
      <c r="DK270" s="1"/>
      <c r="DL270" s="1"/>
      <c r="DM270" s="1"/>
      <c r="DN270" s="1"/>
      <c r="DO270" s="1"/>
      <c r="DP270" s="1"/>
      <c r="DQ270" s="1"/>
      <c r="DR270" s="1"/>
      <c r="DS270" s="1"/>
    </row>
    <row r="271" spans="1:12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>
        <v>0.2964104160994982</v>
      </c>
      <c r="CM271" s="1">
        <v>0.6281591544941367</v>
      </c>
      <c r="CN271" s="1">
        <v>0.5435520413739268</v>
      </c>
      <c r="CO271" s="1">
        <v>0.47338674377154444</v>
      </c>
      <c r="CP271" s="1">
        <v>0.7067301801871136</v>
      </c>
      <c r="CQ271" s="1">
        <v>0.7944312162993618</v>
      </c>
      <c r="CR271" s="1">
        <v>0.5489690151169782</v>
      </c>
      <c r="CS271" s="1">
        <v>0.5674576616334103</v>
      </c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</row>
    <row r="272" spans="1:12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5" t="s">
        <v>62</v>
      </c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>
        <v>1</v>
      </c>
      <c r="CM272" s="1">
        <v>1</v>
      </c>
      <c r="CN272" s="1">
        <v>1</v>
      </c>
      <c r="CO272" s="1">
        <v>1</v>
      </c>
      <c r="CP272" s="1">
        <v>1</v>
      </c>
      <c r="CQ272" s="1">
        <v>1</v>
      </c>
      <c r="CR272" s="1">
        <v>1</v>
      </c>
      <c r="CS272" s="1">
        <v>1</v>
      </c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</row>
    <row r="273" spans="1:12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3" t="s">
        <v>63</v>
      </c>
      <c r="CB273" s="1"/>
      <c r="CC273" s="1"/>
      <c r="CD273" s="1"/>
      <c r="CE273" s="1"/>
      <c r="CF273" s="1"/>
      <c r="CG273" s="3" t="s">
        <v>64</v>
      </c>
      <c r="CH273" s="1"/>
      <c r="CI273" s="1"/>
      <c r="CJ273" s="1"/>
      <c r="CK273" s="1"/>
      <c r="CL273" s="1" t="s">
        <v>44</v>
      </c>
      <c r="CM273" s="1" t="s">
        <v>44</v>
      </c>
      <c r="CN273" s="1" t="s">
        <v>44</v>
      </c>
      <c r="CO273" s="1" t="s">
        <v>44</v>
      </c>
      <c r="CP273" s="1" t="s">
        <v>44</v>
      </c>
      <c r="CQ273" s="1" t="s">
        <v>44</v>
      </c>
      <c r="CR273" s="1" t="s">
        <v>44</v>
      </c>
      <c r="CS273" s="1" t="s">
        <v>44</v>
      </c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</row>
    <row r="274" spans="1:12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>
        <v>1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2</v>
      </c>
      <c r="CH274" s="1" t="s">
        <v>45</v>
      </c>
      <c r="CI274" s="1"/>
      <c r="CJ274" s="1"/>
      <c r="CK274" s="1"/>
      <c r="CL274" s="1">
        <f>MMULT($CA274:$CG279,CL266:CS272)</f>
        <v>0</v>
      </c>
      <c r="CM274" s="1">
        <v>0.3927725311918038</v>
      </c>
      <c r="CN274" s="1">
        <v>0.943218888952523</v>
      </c>
      <c r="CO274" s="1">
        <v>0.93687714629069</v>
      </c>
      <c r="CP274" s="1">
        <v>0.6295930334919053</v>
      </c>
      <c r="CQ274" s="1">
        <v>0.543122153346318</v>
      </c>
      <c r="CR274" s="1">
        <v>0.9761578328312681</v>
      </c>
      <c r="CS274" s="1">
        <v>0.9893910317943371</v>
      </c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</row>
    <row r="275" spans="1:12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>
        <v>0</v>
      </c>
      <c r="CB275" s="1">
        <v>2</v>
      </c>
      <c r="CC275" s="1">
        <v>0</v>
      </c>
      <c r="CD275" s="1">
        <v>0</v>
      </c>
      <c r="CE275" s="1">
        <v>0</v>
      </c>
      <c r="CF275" s="1">
        <v>0</v>
      </c>
      <c r="CG275" s="1">
        <v>3</v>
      </c>
      <c r="CH275" s="1" t="s">
        <v>45</v>
      </c>
      <c r="CI275" s="1"/>
      <c r="CJ275" s="1"/>
      <c r="CK275" s="1"/>
      <c r="CL275" s="1">
        <v>6.202468562758532</v>
      </c>
      <c r="CM275" s="1">
        <v>5.264321272806299</v>
      </c>
      <c r="CN275" s="1">
        <v>5.925508850419283</v>
      </c>
      <c r="CO275" s="1">
        <v>5.703943854446319</v>
      </c>
      <c r="CP275" s="1">
        <v>5.721798575787776</v>
      </c>
      <c r="CQ275" s="1">
        <v>5.445393957164454</v>
      </c>
      <c r="CR275" s="1">
        <v>6.012229523192362</v>
      </c>
      <c r="CS275" s="1">
        <v>6.013286307385677</v>
      </c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</row>
    <row r="276" spans="1:12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>
        <v>0</v>
      </c>
      <c r="CB276" s="1">
        <v>0</v>
      </c>
      <c r="CC276" s="1">
        <v>4</v>
      </c>
      <c r="CD276" s="1">
        <v>0</v>
      </c>
      <c r="CE276" s="1">
        <v>0</v>
      </c>
      <c r="CF276" s="1">
        <v>0</v>
      </c>
      <c r="CG276" s="1">
        <v>0</v>
      </c>
      <c r="CH276" s="1" t="s">
        <v>45</v>
      </c>
      <c r="CI276" s="1"/>
      <c r="CJ276" s="1"/>
      <c r="CK276" s="1"/>
      <c r="CL276" s="1">
        <v>1.2262292076042423</v>
      </c>
      <c r="CM276" s="1">
        <v>1.4392075184983846</v>
      </c>
      <c r="CN276" s="1">
        <v>0.2390085466922284</v>
      </c>
      <c r="CO276" s="1">
        <v>0.3500854841328009</v>
      </c>
      <c r="CP276" s="1">
        <v>-0.18200477466289272</v>
      </c>
      <c r="CQ276" s="1">
        <v>0.40177911516905906</v>
      </c>
      <c r="CR276" s="1">
        <v>0.7621288177036405</v>
      </c>
      <c r="CS276" s="1">
        <v>0.9186674384259705</v>
      </c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</row>
    <row r="277" spans="1:12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>
        <v>0</v>
      </c>
      <c r="CB277" s="1">
        <v>0</v>
      </c>
      <c r="CC277" s="1">
        <v>0</v>
      </c>
      <c r="CD277" s="1">
        <v>5</v>
      </c>
      <c r="CE277" s="1">
        <v>0</v>
      </c>
      <c r="CF277" s="1">
        <v>0</v>
      </c>
      <c r="CG277" s="1">
        <v>1</v>
      </c>
      <c r="CH277" s="1" t="s">
        <v>45</v>
      </c>
      <c r="CI277" s="1"/>
      <c r="CJ277" s="1"/>
      <c r="CK277" s="1"/>
      <c r="CL277" s="1">
        <v>0.5724169239163914</v>
      </c>
      <c r="CM277" s="1">
        <v>2.1604019786256283</v>
      </c>
      <c r="CN277" s="1">
        <v>1.8922789807455604</v>
      </c>
      <c r="CO277" s="1">
        <v>3.1288421736292253</v>
      </c>
      <c r="CP277" s="1">
        <v>2.0019930205712915</v>
      </c>
      <c r="CQ277" s="1">
        <v>1.9000475586961385</v>
      </c>
      <c r="CR277" s="1">
        <v>0.6782432660351676</v>
      </c>
      <c r="CS277" s="1">
        <v>0.2568276635165282</v>
      </c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</row>
    <row r="278" spans="1:12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>
        <v>0</v>
      </c>
      <c r="CB278" s="1">
        <v>0</v>
      </c>
      <c r="CC278" s="1">
        <v>0</v>
      </c>
      <c r="CD278" s="1">
        <v>0</v>
      </c>
      <c r="CE278" s="1">
        <v>4</v>
      </c>
      <c r="CF278" s="1">
        <v>0</v>
      </c>
      <c r="CG278" s="1">
        <v>4</v>
      </c>
      <c r="CH278" s="1" t="s">
        <v>45</v>
      </c>
      <c r="CI278" s="1"/>
      <c r="CJ278" s="1"/>
      <c r="CK278" s="1"/>
      <c r="CL278" s="1">
        <v>-0.17166251304150926</v>
      </c>
      <c r="CM278" s="1">
        <v>1.0201016102447529</v>
      </c>
      <c r="CN278" s="1">
        <v>-0.750933153433051</v>
      </c>
      <c r="CO278" s="1">
        <v>-1.1021024921777522</v>
      </c>
      <c r="CP278" s="1">
        <v>0.5915203519142338</v>
      </c>
      <c r="CQ278" s="1">
        <v>0.6371814449624043</v>
      </c>
      <c r="CR278" s="1">
        <v>-0.6296898687094812</v>
      </c>
      <c r="CS278" s="1">
        <v>-0.5780969577215433</v>
      </c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</row>
    <row r="279" spans="1:12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5</v>
      </c>
      <c r="CG279" s="1">
        <v>2</v>
      </c>
      <c r="CH279" s="1" t="s">
        <v>45</v>
      </c>
      <c r="CI279" s="1"/>
      <c r="CJ279" s="1"/>
      <c r="CK279" s="1"/>
      <c r="CL279" s="1">
        <v>3.482052080497491</v>
      </c>
      <c r="CM279" s="1">
        <v>5.140795772470684</v>
      </c>
      <c r="CN279" s="1">
        <v>4.717760206869634</v>
      </c>
      <c r="CO279" s="1">
        <v>4.366933718857722</v>
      </c>
      <c r="CP279" s="1">
        <v>5.533650900935568</v>
      </c>
      <c r="CQ279" s="1">
        <v>5.972156081496809</v>
      </c>
      <c r="CR279" s="1">
        <v>4.744845075584891</v>
      </c>
      <c r="CS279" s="1">
        <v>4.837288308167052</v>
      </c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</row>
    <row r="280" spans="1:12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>
        <v>1</v>
      </c>
      <c r="CM280" s="1">
        <v>1</v>
      </c>
      <c r="CN280" s="1">
        <v>1</v>
      </c>
      <c r="CO280" s="1">
        <v>1</v>
      </c>
      <c r="CP280" s="1">
        <v>1</v>
      </c>
      <c r="CQ280" s="1">
        <v>1</v>
      </c>
      <c r="CR280" s="1">
        <v>1</v>
      </c>
      <c r="CS280" s="1">
        <v>1</v>
      </c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</row>
    <row r="281" spans="1:12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 t="s">
        <v>44</v>
      </c>
      <c r="CM281" s="1" t="s">
        <v>44</v>
      </c>
      <c r="CN281" s="1" t="s">
        <v>44</v>
      </c>
      <c r="CO281" s="1" t="s">
        <v>44</v>
      </c>
      <c r="CP281" s="1" t="s">
        <v>44</v>
      </c>
      <c r="CQ281" s="1" t="s">
        <v>44</v>
      </c>
      <c r="CR281" s="1" t="s">
        <v>44</v>
      </c>
      <c r="CS281" s="1" t="s">
        <v>44</v>
      </c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</row>
    <row r="282" spans="1:12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</row>
    <row r="283" spans="1:12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</row>
    <row r="284" spans="1:12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</row>
    <row r="285" spans="1:12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</row>
    <row r="286" spans="1:12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5" t="s">
        <v>60</v>
      </c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</row>
    <row r="287" spans="1:12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>
        <v>-1</v>
      </c>
      <c r="CB287" s="1">
        <v>1</v>
      </c>
      <c r="CC287" s="1">
        <v>-1</v>
      </c>
      <c r="CD287" s="1">
        <v>1</v>
      </c>
      <c r="CE287" s="1">
        <v>1</v>
      </c>
      <c r="CF287" s="1">
        <v>-1</v>
      </c>
      <c r="CG287" s="1">
        <v>0</v>
      </c>
      <c r="CH287" s="1" t="s">
        <v>45</v>
      </c>
      <c r="CI287" s="1"/>
      <c r="CJ287" s="1"/>
      <c r="CK287" s="1"/>
      <c r="CL287" s="1">
        <f>MMULT($CA287:$CG298,CL274:CS280)</f>
        <v>0</v>
      </c>
      <c r="CM287" s="1">
        <v>1.4720490395158077</v>
      </c>
      <c r="CN287" s="1">
        <v>1.1668670352174075</v>
      </c>
      <c r="CO287" s="1">
        <v>2.0767871866165795</v>
      </c>
      <c r="CP287" s="1">
        <v>2.3340727885087222</v>
      </c>
      <c r="CQ287" s="1">
        <v>1.0655656108108111</v>
      </c>
      <c r="CR287" s="1">
        <v>-0.42234880560175103</v>
      </c>
      <c r="CS287" s="1">
        <v>-1.0533297652066977</v>
      </c>
      <c r="CT287" s="1"/>
      <c r="CU287" s="1"/>
      <c r="CV287" s="1"/>
      <c r="CW287" s="1"/>
      <c r="CX287" s="1"/>
      <c r="CY287" s="1"/>
      <c r="CZ287" s="1"/>
      <c r="DA287" s="2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</row>
    <row r="288" spans="1:12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>
        <v>1</v>
      </c>
      <c r="CB288" s="1">
        <v>1</v>
      </c>
      <c r="CC288" s="1">
        <v>0</v>
      </c>
      <c r="CD288" s="1">
        <v>1</v>
      </c>
      <c r="CE288" s="1">
        <v>0</v>
      </c>
      <c r="CF288" s="1">
        <v>1</v>
      </c>
      <c r="CG288" s="1">
        <v>0</v>
      </c>
      <c r="CH288" s="1" t="s">
        <v>45</v>
      </c>
      <c r="CI288" s="1"/>
      <c r="CJ288" s="1"/>
      <c r="CK288" s="1"/>
      <c r="CL288" s="1">
        <v>11.181167811269688</v>
      </c>
      <c r="CM288" s="1">
        <v>12.958291555094416</v>
      </c>
      <c r="CN288" s="1">
        <v>13.478766926987</v>
      </c>
      <c r="CO288" s="1">
        <v>14.136596893223956</v>
      </c>
      <c r="CP288" s="1">
        <v>13.887035530786541</v>
      </c>
      <c r="CQ288" s="1">
        <v>13.86071975070372</v>
      </c>
      <c r="CR288" s="1">
        <v>12.411475697643688</v>
      </c>
      <c r="CS288" s="1">
        <v>12.096793310863594</v>
      </c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</row>
    <row r="289" spans="1:12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>
        <v>-1</v>
      </c>
      <c r="CB289" s="1">
        <v>0</v>
      </c>
      <c r="CC289" s="1">
        <v>1</v>
      </c>
      <c r="CD289" s="1">
        <v>-1</v>
      </c>
      <c r="CE289" s="1">
        <v>1</v>
      </c>
      <c r="CF289" s="1">
        <v>1</v>
      </c>
      <c r="CG289" s="1">
        <v>-1</v>
      </c>
      <c r="CH289" s="1" t="s">
        <v>45</v>
      </c>
      <c r="CI289" s="1"/>
      <c r="CJ289" s="1"/>
      <c r="CK289" s="1"/>
      <c r="CL289" s="1">
        <v>2.039971607046559</v>
      </c>
      <c r="CM289" s="1">
        <v>4.046930391396389</v>
      </c>
      <c r="CN289" s="1">
        <v>0.3703377304307276</v>
      </c>
      <c r="CO289" s="1">
        <v>-1.4508026091071446</v>
      </c>
      <c r="CP289" s="1">
        <v>2.311580424123712</v>
      </c>
      <c r="CQ289" s="1">
        <v>3.5679469295858155</v>
      </c>
      <c r="CR289" s="1">
        <v>2.2228829257126144</v>
      </c>
      <c r="CS289" s="1">
        <v>2.9316400935606137</v>
      </c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</row>
    <row r="290" spans="1:12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>
        <v>0</v>
      </c>
      <c r="CB290" s="1">
        <v>1</v>
      </c>
      <c r="CC290" s="1">
        <v>0</v>
      </c>
      <c r="CD290" s="1">
        <v>0</v>
      </c>
      <c r="CE290" s="1">
        <v>-1</v>
      </c>
      <c r="CF290" s="1">
        <v>0</v>
      </c>
      <c r="CG290" s="1">
        <v>-1</v>
      </c>
      <c r="CH290" s="1" t="s">
        <v>45</v>
      </c>
      <c r="CI290" s="1"/>
      <c r="CJ290" s="1"/>
      <c r="CK290" s="1"/>
      <c r="CL290" s="1">
        <v>5.374131075800041</v>
      </c>
      <c r="CM290" s="1">
        <v>3.2442196625615463</v>
      </c>
      <c r="CN290" s="1">
        <v>5.676442003852334</v>
      </c>
      <c r="CO290" s="1">
        <v>5.806046346624071</v>
      </c>
      <c r="CP290" s="1">
        <v>4.1302782238735425</v>
      </c>
      <c r="CQ290" s="1">
        <v>3.808212512202049</v>
      </c>
      <c r="CR290" s="1">
        <v>5.641919391901843</v>
      </c>
      <c r="CS290" s="1">
        <v>5.59138326510722</v>
      </c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</row>
    <row r="291" spans="1:12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>
        <v>-1</v>
      </c>
      <c r="CB291" s="1">
        <v>-1</v>
      </c>
      <c r="CC291" s="1">
        <v>0</v>
      </c>
      <c r="CD291" s="1">
        <v>0</v>
      </c>
      <c r="CE291" s="1">
        <v>1</v>
      </c>
      <c r="CF291" s="1">
        <v>-1</v>
      </c>
      <c r="CG291" s="1">
        <v>0</v>
      </c>
      <c r="CH291" s="1" t="s">
        <v>45</v>
      </c>
      <c r="CI291" s="1"/>
      <c r="CJ291" s="1"/>
      <c r="CK291" s="1"/>
      <c r="CL291" s="1">
        <v>-10.780413400394806</v>
      </c>
      <c r="CM291" s="1">
        <v>-9.777787966224034</v>
      </c>
      <c r="CN291" s="1">
        <v>-12.33742109967449</v>
      </c>
      <c r="CO291" s="1">
        <v>-12.109857211772482</v>
      </c>
      <c r="CP291" s="1">
        <v>-11.293522158301016</v>
      </c>
      <c r="CQ291" s="1">
        <v>-11.323490747045177</v>
      </c>
      <c r="CR291" s="1">
        <v>-12.362922300318</v>
      </c>
      <c r="CS291" s="1">
        <v>-12.41806260506861</v>
      </c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</row>
    <row r="292" spans="1:12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>
        <v>0</v>
      </c>
      <c r="CB292" s="1">
        <v>-1</v>
      </c>
      <c r="CC292" s="1">
        <v>1</v>
      </c>
      <c r="CD292" s="1">
        <v>0</v>
      </c>
      <c r="CE292" s="1">
        <v>1</v>
      </c>
      <c r="CF292" s="1">
        <v>1</v>
      </c>
      <c r="CG292" s="1">
        <v>1</v>
      </c>
      <c r="CH292" s="1" t="s">
        <v>45</v>
      </c>
      <c r="CI292" s="1"/>
      <c r="CJ292" s="1"/>
      <c r="CK292" s="1"/>
      <c r="CL292" s="1">
        <v>-0.665849787698308</v>
      </c>
      <c r="CM292" s="1">
        <v>3.3357836284075217</v>
      </c>
      <c r="CN292" s="1">
        <v>-0.7196732502904721</v>
      </c>
      <c r="CO292" s="1">
        <v>-1.0890271436335484</v>
      </c>
      <c r="CP292" s="1">
        <v>1.2213679023991322</v>
      </c>
      <c r="CQ292" s="1">
        <v>2.56572268446382</v>
      </c>
      <c r="CR292" s="1">
        <v>-0.13494549861331162</v>
      </c>
      <c r="CS292" s="1">
        <v>0.16457248148580206</v>
      </c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</row>
    <row r="293" spans="1:12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>
        <v>1</v>
      </c>
      <c r="CB293" s="1">
        <v>1</v>
      </c>
      <c r="CC293" s="1">
        <v>0</v>
      </c>
      <c r="CD293" s="1">
        <v>1</v>
      </c>
      <c r="CE293" s="1">
        <v>1</v>
      </c>
      <c r="CF293" s="1">
        <v>1</v>
      </c>
      <c r="CG293" s="1">
        <v>0</v>
      </c>
      <c r="CH293" s="1" t="s">
        <v>45</v>
      </c>
      <c r="CI293" s="1"/>
      <c r="CJ293" s="1"/>
      <c r="CK293" s="1"/>
      <c r="CL293" s="1">
        <v>11.009505298228179</v>
      </c>
      <c r="CM293" s="1">
        <v>13.978393165339169</v>
      </c>
      <c r="CN293" s="1">
        <v>12.72783377355395</v>
      </c>
      <c r="CO293" s="1">
        <v>13.034494401046203</v>
      </c>
      <c r="CP293" s="1">
        <v>14.478555882700775</v>
      </c>
      <c r="CQ293" s="1">
        <v>14.497901195666124</v>
      </c>
      <c r="CR293" s="1">
        <v>11.781785828934208</v>
      </c>
      <c r="CS293" s="1">
        <v>11.518696353142051</v>
      </c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</row>
    <row r="294" spans="1:12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>
        <v>-1</v>
      </c>
      <c r="CB294" s="1">
        <v>0</v>
      </c>
      <c r="CC294" s="1">
        <v>0</v>
      </c>
      <c r="CD294" s="1">
        <v>0</v>
      </c>
      <c r="CE294" s="1">
        <v>1</v>
      </c>
      <c r="CF294" s="1">
        <v>0</v>
      </c>
      <c r="CG294" s="1">
        <v>-1</v>
      </c>
      <c r="CH294" s="1" t="s">
        <v>45</v>
      </c>
      <c r="CI294" s="1"/>
      <c r="CJ294" s="1"/>
      <c r="CK294" s="1"/>
      <c r="CL294" s="1">
        <v>-2.095892757138783</v>
      </c>
      <c r="CM294" s="1">
        <v>-0.3726709209470509</v>
      </c>
      <c r="CN294" s="1">
        <v>-2.694152042385574</v>
      </c>
      <c r="CO294" s="1">
        <v>-3.038979638468442</v>
      </c>
      <c r="CP294" s="1">
        <v>-1.0380726815776715</v>
      </c>
      <c r="CQ294" s="1">
        <v>-0.9059407083839137</v>
      </c>
      <c r="CR294" s="1">
        <v>-2.6058477015407493</v>
      </c>
      <c r="CS294" s="1">
        <v>-2.5674879895158806</v>
      </c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</row>
    <row r="295" spans="1:12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>
        <v>-1</v>
      </c>
      <c r="CB295" s="1">
        <v>1</v>
      </c>
      <c r="CC295" s="1">
        <v>0</v>
      </c>
      <c r="CD295" s="1">
        <v>1</v>
      </c>
      <c r="CE295" s="1">
        <v>-1</v>
      </c>
      <c r="CF295" s="1">
        <v>0</v>
      </c>
      <c r="CG295" s="1">
        <v>1</v>
      </c>
      <c r="CH295" s="1" t="s">
        <v>45</v>
      </c>
      <c r="CI295" s="1"/>
      <c r="CJ295" s="1"/>
      <c r="CK295" s="1"/>
      <c r="CL295" s="1">
        <v>7.022317755619159</v>
      </c>
      <c r="CM295" s="1">
        <v>7.011849109995371</v>
      </c>
      <c r="CN295" s="1">
        <v>8.625502095645372</v>
      </c>
      <c r="CO295" s="1">
        <v>9.998011373962607</v>
      </c>
      <c r="CP295" s="1">
        <v>7.502678210952929</v>
      </c>
      <c r="CQ295" s="1">
        <v>7.165137917551869</v>
      </c>
      <c r="CR295" s="1">
        <v>7.344004825105743</v>
      </c>
      <c r="CS295" s="1">
        <v>6.858819896829411</v>
      </c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</row>
    <row r="296" spans="1:12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>
        <v>0</v>
      </c>
      <c r="CB296" s="1">
        <v>1</v>
      </c>
      <c r="CC296" s="1">
        <v>0</v>
      </c>
      <c r="CD296" s="1">
        <v>0</v>
      </c>
      <c r="CE296" s="1">
        <v>-1</v>
      </c>
      <c r="CF296" s="1">
        <v>1</v>
      </c>
      <c r="CG296" s="1">
        <v>-1</v>
      </c>
      <c r="CH296" s="1" t="s">
        <v>45</v>
      </c>
      <c r="CI296" s="1"/>
      <c r="CJ296" s="1"/>
      <c r="CK296" s="1"/>
      <c r="CL296" s="1">
        <v>8.856183156297533</v>
      </c>
      <c r="CM296" s="1">
        <v>8.38501543503223</v>
      </c>
      <c r="CN296" s="1">
        <v>10.394202210721968</v>
      </c>
      <c r="CO296" s="1">
        <v>10.172980065481793</v>
      </c>
      <c r="CP296" s="1">
        <v>9.66392912480911</v>
      </c>
      <c r="CQ296" s="1">
        <v>9.780368593698858</v>
      </c>
      <c r="CR296" s="1">
        <v>10.386764467486735</v>
      </c>
      <c r="CS296" s="1">
        <v>10.428671573274272</v>
      </c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</row>
    <row r="297" spans="1:12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>
        <v>1</v>
      </c>
      <c r="CB297" s="1">
        <v>0</v>
      </c>
      <c r="CC297" s="1">
        <v>1</v>
      </c>
      <c r="CD297" s="1">
        <v>0</v>
      </c>
      <c r="CE297" s="1">
        <v>0</v>
      </c>
      <c r="CF297" s="1">
        <v>-1</v>
      </c>
      <c r="CG297" s="1">
        <v>0</v>
      </c>
      <c r="CH297" s="1" t="s">
        <v>45</v>
      </c>
      <c r="CI297" s="1"/>
      <c r="CJ297" s="1"/>
      <c r="CK297" s="1"/>
      <c r="CL297" s="1">
        <v>-1.331592628795975</v>
      </c>
      <c r="CM297" s="1">
        <v>-3.308815722780495</v>
      </c>
      <c r="CN297" s="1">
        <v>-3.535532771224882</v>
      </c>
      <c r="CO297" s="1">
        <v>-3.079971088434231</v>
      </c>
      <c r="CP297" s="1">
        <v>-5.086062642106555</v>
      </c>
      <c r="CQ297" s="1">
        <v>-5.0272548129814325</v>
      </c>
      <c r="CR297" s="1">
        <v>-3.0065584250499824</v>
      </c>
      <c r="CS297" s="1">
        <v>-2.9292298379467443</v>
      </c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</row>
    <row r="298" spans="1:12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>
        <v>1</v>
      </c>
      <c r="CB298" s="1">
        <v>0</v>
      </c>
      <c r="CC298" s="1">
        <v>0</v>
      </c>
      <c r="CD298" s="1">
        <v>0</v>
      </c>
      <c r="CE298" s="1">
        <v>1</v>
      </c>
      <c r="CF298" s="1">
        <v>-1</v>
      </c>
      <c r="CG298" s="1">
        <v>0</v>
      </c>
      <c r="CH298" s="1" t="s">
        <v>45</v>
      </c>
      <c r="CI298" s="1"/>
      <c r="CJ298" s="1"/>
      <c r="CK298" s="1"/>
      <c r="CL298" s="1">
        <v>-2.7294843494417265</v>
      </c>
      <c r="CM298" s="1">
        <v>-3.727921631034127</v>
      </c>
      <c r="CN298" s="1">
        <v>-4.525474471350162</v>
      </c>
      <c r="CO298" s="1">
        <v>-4.532159064744785</v>
      </c>
      <c r="CP298" s="1">
        <v>-4.312537515529429</v>
      </c>
      <c r="CQ298" s="1">
        <v>-4.791852483188087</v>
      </c>
      <c r="CR298" s="1">
        <v>-4.398377111463104</v>
      </c>
      <c r="CS298" s="1">
        <v>-4.425994234094258</v>
      </c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</row>
    <row r="299" spans="1:12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</row>
    <row r="300" spans="1:12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3" t="s">
        <v>65</v>
      </c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</row>
    <row r="301" spans="1:12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 cm="1">
        <f t="array" ref="CL301">RELU(_xlfn.ANCHORARRAY(CL287))</f>
        <v>0</v>
      </c>
      <c r="CM301" s="1">
        <v>1.4720490395158077</v>
      </c>
      <c r="CN301" s="1">
        <v>1.1668670352174075</v>
      </c>
      <c r="CO301" s="1">
        <v>2.0767871866165795</v>
      </c>
      <c r="CP301" s="1">
        <v>2.3340727885087222</v>
      </c>
      <c r="CQ301" s="1">
        <v>1.0655656108108111</v>
      </c>
      <c r="CR301" s="1">
        <v>0</v>
      </c>
      <c r="CS301" s="1">
        <v>0</v>
      </c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</row>
    <row r="302" spans="1:12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>
        <v>11.181167811269688</v>
      </c>
      <c r="CM302" s="1">
        <v>12.958291555094416</v>
      </c>
      <c r="CN302" s="1">
        <v>13.478766926987</v>
      </c>
      <c r="CO302" s="1">
        <v>14.136596893223956</v>
      </c>
      <c r="CP302" s="1">
        <v>13.887035530786541</v>
      </c>
      <c r="CQ302" s="1">
        <v>13.86071975070372</v>
      </c>
      <c r="CR302" s="1">
        <v>12.411475697643688</v>
      </c>
      <c r="CS302" s="1">
        <v>12.096793310863594</v>
      </c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</row>
    <row r="303" spans="1:12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>
        <v>2.039971607046559</v>
      </c>
      <c r="CM303" s="1">
        <v>4.046930391396389</v>
      </c>
      <c r="CN303" s="1">
        <v>0.3703377304307276</v>
      </c>
      <c r="CO303" s="1">
        <v>0</v>
      </c>
      <c r="CP303" s="1">
        <v>2.311580424123712</v>
      </c>
      <c r="CQ303" s="1">
        <v>3.5679469295858155</v>
      </c>
      <c r="CR303" s="1">
        <v>2.2228829257126144</v>
      </c>
      <c r="CS303" s="1">
        <v>2.9316400935606137</v>
      </c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</row>
    <row r="304" spans="1:12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>
        <v>5.374131075800041</v>
      </c>
      <c r="CM304" s="1">
        <v>3.2442196625615463</v>
      </c>
      <c r="CN304" s="1">
        <v>5.676442003852334</v>
      </c>
      <c r="CO304" s="1">
        <v>5.806046346624071</v>
      </c>
      <c r="CP304" s="1">
        <v>4.1302782238735425</v>
      </c>
      <c r="CQ304" s="1">
        <v>3.808212512202049</v>
      </c>
      <c r="CR304" s="1">
        <v>5.641919391901843</v>
      </c>
      <c r="CS304" s="1">
        <v>5.59138326510722</v>
      </c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</row>
    <row r="305" spans="1:12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</row>
    <row r="306" spans="1:12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>
        <v>0</v>
      </c>
      <c r="CM306" s="1">
        <v>3.3357836284075217</v>
      </c>
      <c r="CN306" s="1">
        <v>0</v>
      </c>
      <c r="CO306" s="1">
        <v>0</v>
      </c>
      <c r="CP306" s="1">
        <v>1.2213679023991322</v>
      </c>
      <c r="CQ306" s="1">
        <v>2.56572268446382</v>
      </c>
      <c r="CR306" s="1">
        <v>0</v>
      </c>
      <c r="CS306" s="1">
        <v>0.16457248148580206</v>
      </c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</row>
    <row r="307" spans="1:12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>
        <v>11.009505298228179</v>
      </c>
      <c r="CM307" s="1">
        <v>13.978393165339169</v>
      </c>
      <c r="CN307" s="1">
        <v>12.72783377355395</v>
      </c>
      <c r="CO307" s="1">
        <v>13.034494401046203</v>
      </c>
      <c r="CP307" s="1">
        <v>14.478555882700775</v>
      </c>
      <c r="CQ307" s="1">
        <v>14.497901195666124</v>
      </c>
      <c r="CR307" s="1">
        <v>11.781785828934208</v>
      </c>
      <c r="CS307" s="1">
        <v>11.518696353142051</v>
      </c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</row>
    <row r="308" spans="1:12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</row>
    <row r="309" spans="1:12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>
        <v>7.022317755619159</v>
      </c>
      <c r="CM309" s="1">
        <v>7.011849109995371</v>
      </c>
      <c r="CN309" s="1">
        <v>8.625502095645372</v>
      </c>
      <c r="CO309" s="1">
        <v>9.998011373962607</v>
      </c>
      <c r="CP309" s="1">
        <v>7.502678210952929</v>
      </c>
      <c r="CQ309" s="1">
        <v>7.165137917551869</v>
      </c>
      <c r="CR309" s="1">
        <v>7.344004825105743</v>
      </c>
      <c r="CS309" s="1">
        <v>6.858819896829411</v>
      </c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</row>
    <row r="310" spans="1:12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>
        <v>8.856183156297533</v>
      </c>
      <c r="CM310" s="1">
        <v>8.38501543503223</v>
      </c>
      <c r="CN310" s="1">
        <v>10.394202210721968</v>
      </c>
      <c r="CO310" s="1">
        <v>10.172980065481793</v>
      </c>
      <c r="CP310" s="1">
        <v>9.66392912480911</v>
      </c>
      <c r="CQ310" s="1">
        <v>9.780368593698858</v>
      </c>
      <c r="CR310" s="1">
        <v>10.386764467486735</v>
      </c>
      <c r="CS310" s="1">
        <v>10.428671573274272</v>
      </c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</row>
    <row r="311" spans="1:12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</row>
    <row r="312" spans="1:12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</row>
    <row r="313" spans="1:12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>
        <v>1</v>
      </c>
      <c r="CM313" s="1">
        <v>1</v>
      </c>
      <c r="CN313" s="1">
        <v>1</v>
      </c>
      <c r="CO313" s="1">
        <v>1</v>
      </c>
      <c r="CP313" s="1">
        <v>1</v>
      </c>
      <c r="CQ313" s="1">
        <v>1</v>
      </c>
      <c r="CR313" s="1">
        <v>1</v>
      </c>
      <c r="CS313" s="1">
        <v>1</v>
      </c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</row>
    <row r="314" spans="1:12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5" t="s">
        <v>60</v>
      </c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 t="s">
        <v>44</v>
      </c>
      <c r="CM314" s="1" t="s">
        <v>44</v>
      </c>
      <c r="CN314" s="1" t="s">
        <v>44</v>
      </c>
      <c r="CO314" s="1" t="s">
        <v>44</v>
      </c>
      <c r="CP314" s="1" t="s">
        <v>44</v>
      </c>
      <c r="CQ314" s="1" t="s">
        <v>44</v>
      </c>
      <c r="CR314" s="1" t="s">
        <v>44</v>
      </c>
      <c r="CS314" s="1" t="s">
        <v>44</v>
      </c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</row>
    <row r="315" spans="1:12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>
        <v>0</v>
      </c>
      <c r="BV315" s="1">
        <v>1</v>
      </c>
      <c r="BW315" s="1">
        <v>0</v>
      </c>
      <c r="BX315" s="1">
        <v>0</v>
      </c>
      <c r="BY315" s="1">
        <v>0</v>
      </c>
      <c r="BZ315" s="1">
        <v>0</v>
      </c>
      <c r="CA315" s="1">
        <v>1</v>
      </c>
      <c r="CB315" s="1">
        <v>-1</v>
      </c>
      <c r="CC315" s="1">
        <v>1</v>
      </c>
      <c r="CD315" s="1">
        <v>-1</v>
      </c>
      <c r="CE315" s="1">
        <v>0</v>
      </c>
      <c r="CF315" s="1">
        <v>-1</v>
      </c>
      <c r="CG315" s="1">
        <v>0</v>
      </c>
      <c r="CH315" s="1" t="s">
        <v>45</v>
      </c>
      <c r="CI315" s="1"/>
      <c r="CJ315" s="1"/>
      <c r="CK315" s="1"/>
      <c r="CL315" s="3">
        <f>MMULT($BU315:$CG320,CL301:CS313)</f>
        <v>0</v>
      </c>
      <c r="CM315" s="3">
        <v>25.563518395396727</v>
      </c>
      <c r="CN315" s="3">
        <v>24.43790058546435</v>
      </c>
      <c r="CO315" s="3">
        <v>26.996122602750972</v>
      </c>
      <c r="CP315" s="3">
        <v>26.204340499631137</v>
      </c>
      <c r="CQ315" s="3">
        <v>25.743390270222854</v>
      </c>
      <c r="CR315" s="3">
        <v>21.150501884196903</v>
      </c>
      <c r="CS315" s="3">
        <v>20.04563798756078</v>
      </c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</row>
    <row r="316" spans="1:12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>
        <v>0</v>
      </c>
      <c r="BV316" s="1">
        <v>-1</v>
      </c>
      <c r="BW316" s="1">
        <v>0</v>
      </c>
      <c r="BX316" s="1">
        <v>0</v>
      </c>
      <c r="BY316" s="1">
        <v>0</v>
      </c>
      <c r="BZ316" s="1">
        <v>0</v>
      </c>
      <c r="CA316" s="1">
        <v>1</v>
      </c>
      <c r="CB316" s="1">
        <v>-1</v>
      </c>
      <c r="CC316" s="1">
        <v>1</v>
      </c>
      <c r="CD316" s="1">
        <v>0</v>
      </c>
      <c r="CE316" s="1">
        <v>0</v>
      </c>
      <c r="CF316" s="1">
        <v>-1</v>
      </c>
      <c r="CG316" s="1">
        <v>-1</v>
      </c>
      <c r="CH316" s="1" t="s">
        <v>45</v>
      </c>
      <c r="CI316" s="1"/>
      <c r="CJ316" s="1"/>
      <c r="CK316" s="1"/>
      <c r="CL316" s="3">
        <v>5.85065524257765</v>
      </c>
      <c r="CM316" s="3">
        <v>7.031950720240124</v>
      </c>
      <c r="CN316" s="3">
        <v>6.874568942212322</v>
      </c>
      <c r="CO316" s="3">
        <v>7.8959088817848535</v>
      </c>
      <c r="CP316" s="3">
        <v>7.094198562867163</v>
      </c>
      <c r="CQ316" s="3">
        <v>6.8023193625142735</v>
      </c>
      <c r="CR316" s="3">
        <v>5.7143149563962625</v>
      </c>
      <c r="CS316" s="3">
        <v>5.280722939107868</v>
      </c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</row>
    <row r="317" spans="1:12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>
        <v>-1</v>
      </c>
      <c r="BV317" s="1">
        <v>1</v>
      </c>
      <c r="BW317" s="1">
        <v>0</v>
      </c>
      <c r="BX317" s="1">
        <v>1</v>
      </c>
      <c r="BY317" s="1">
        <v>1</v>
      </c>
      <c r="BZ317" s="1">
        <v>-1</v>
      </c>
      <c r="CA317" s="1">
        <v>0</v>
      </c>
      <c r="CB317" s="1">
        <v>1</v>
      </c>
      <c r="CC317" s="1">
        <v>1</v>
      </c>
      <c r="CD317" s="1">
        <v>-1</v>
      </c>
      <c r="CE317" s="1">
        <v>0</v>
      </c>
      <c r="CF317" s="1">
        <v>1</v>
      </c>
      <c r="CG317" s="1">
        <v>0</v>
      </c>
      <c r="CH317" s="1" t="s">
        <v>45</v>
      </c>
      <c r="CI317" s="1"/>
      <c r="CJ317" s="1"/>
      <c r="CK317" s="1"/>
      <c r="CL317" s="3">
        <v>13.750722044956948</v>
      </c>
      <c r="CM317" s="3">
        <v>10.021512224695773</v>
      </c>
      <c r="CN317" s="3">
        <v>16.219641780545327</v>
      </c>
      <c r="CO317" s="3">
        <v>17.690887361712257</v>
      </c>
      <c r="CP317" s="3">
        <v>12.300622149896048</v>
      </c>
      <c r="CQ317" s="3">
        <v>11.422413291484146</v>
      </c>
      <c r="CR317" s="3">
        <v>15.010635447164539</v>
      </c>
      <c r="CS317" s="3">
        <v>13.953752418040153</v>
      </c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</row>
    <row r="318" spans="1:12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>
        <v>1</v>
      </c>
      <c r="BV318" s="1">
        <v>1</v>
      </c>
      <c r="BW318" s="1">
        <v>1</v>
      </c>
      <c r="BX318" s="1">
        <v>1</v>
      </c>
      <c r="BY318" s="1">
        <v>-1</v>
      </c>
      <c r="BZ318" s="1">
        <v>1</v>
      </c>
      <c r="CA318" s="1">
        <v>-1</v>
      </c>
      <c r="CB318" s="1">
        <v>-1</v>
      </c>
      <c r="CC318" s="1">
        <v>1</v>
      </c>
      <c r="CD318" s="1">
        <v>0</v>
      </c>
      <c r="CE318" s="1">
        <v>0</v>
      </c>
      <c r="CF318" s="1">
        <v>-1</v>
      </c>
      <c r="CG318" s="1">
        <v>-1</v>
      </c>
      <c r="CH318" s="1" t="s">
        <v>45</v>
      </c>
      <c r="CI318" s="1"/>
      <c r="CJ318" s="1"/>
      <c r="CK318" s="1"/>
      <c r="CL318" s="3">
        <v>14.578794392941676</v>
      </c>
      <c r="CM318" s="3">
        <v>17.09073022163188</v>
      </c>
      <c r="CN318" s="3">
        <v>15.59008201857889</v>
      </c>
      <c r="CO318" s="3">
        <v>17.98294739938101</v>
      </c>
      <c r="CP318" s="3">
        <v>15.908457197943804</v>
      </c>
      <c r="CQ318" s="3">
        <v>16.535404209651958</v>
      </c>
      <c r="CR318" s="3">
        <v>14.83849701142968</v>
      </c>
      <c r="CS318" s="3">
        <v>15.124512694704592</v>
      </c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</row>
    <row r="319" spans="1:12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>
        <v>1</v>
      </c>
      <c r="BV319" s="1">
        <v>-1</v>
      </c>
      <c r="BW319" s="1">
        <v>0</v>
      </c>
      <c r="BX319" s="1">
        <v>0</v>
      </c>
      <c r="BY319" s="1">
        <v>-1</v>
      </c>
      <c r="BZ319" s="1">
        <v>0</v>
      </c>
      <c r="CA319" s="1">
        <v>-1</v>
      </c>
      <c r="CB319" s="1">
        <v>-1</v>
      </c>
      <c r="CC319" s="1">
        <v>-1</v>
      </c>
      <c r="CD319" s="1">
        <v>0</v>
      </c>
      <c r="CE319" s="1">
        <v>-1</v>
      </c>
      <c r="CF319" s="1">
        <v>1</v>
      </c>
      <c r="CG319" s="1">
        <v>0</v>
      </c>
      <c r="CH319" s="1" t="s">
        <v>45</v>
      </c>
      <c r="CI319" s="1"/>
      <c r="CJ319" s="1"/>
      <c r="CK319" s="1"/>
      <c r="CL319" s="3">
        <v>-28.24227942368262</v>
      </c>
      <c r="CM319" s="3">
        <v>-32.47648479091315</v>
      </c>
      <c r="CN319" s="3">
        <v>-33.66523576096891</v>
      </c>
      <c r="CO319" s="3">
        <v>-35.09231548161618</v>
      </c>
      <c r="CP319" s="3">
        <v>-33.534196835931525</v>
      </c>
      <c r="CQ319" s="3">
        <v>-34.4581932531109</v>
      </c>
      <c r="CR319" s="3">
        <v>-31.537266351683638</v>
      </c>
      <c r="CS319" s="3">
        <v>-30.474309560835053</v>
      </c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</row>
    <row r="320" spans="1:12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>
        <v>0</v>
      </c>
      <c r="BV320" s="1">
        <v>-1</v>
      </c>
      <c r="BW320" s="1">
        <v>0</v>
      </c>
      <c r="BX320" s="1">
        <v>1</v>
      </c>
      <c r="BY320" s="1">
        <v>0</v>
      </c>
      <c r="BZ320" s="1">
        <v>-1</v>
      </c>
      <c r="CA320" s="1">
        <v>1</v>
      </c>
      <c r="CB320" s="1">
        <v>1</v>
      </c>
      <c r="CC320" s="1">
        <v>0</v>
      </c>
      <c r="CD320" s="1">
        <v>1</v>
      </c>
      <c r="CE320" s="1">
        <v>0</v>
      </c>
      <c r="CF320" s="1">
        <v>1</v>
      </c>
      <c r="CG320" s="1">
        <v>-1</v>
      </c>
      <c r="CH320" s="1" t="s">
        <v>45</v>
      </c>
      <c r="CI320" s="1"/>
      <c r="CJ320" s="1"/>
      <c r="CK320" s="1"/>
      <c r="CL320" s="3">
        <v>13.058651719056066</v>
      </c>
      <c r="CM320" s="3">
        <v>8.313553079431008</v>
      </c>
      <c r="CN320" s="3">
        <v>14.319711061141252</v>
      </c>
      <c r="CO320" s="3">
        <v>13.876923919928112</v>
      </c>
      <c r="CP320" s="3">
        <v>12.164359798197754</v>
      </c>
      <c r="CQ320" s="3">
        <v>10.660039866399492</v>
      </c>
      <c r="CR320" s="3">
        <v>14.398993990679099</v>
      </c>
      <c r="CS320" s="3">
        <v>14.277385399174147</v>
      </c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</row>
    <row r="321" spans="1:12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</row>
    <row r="322" spans="1:12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3" t="s">
        <v>65</v>
      </c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</row>
    <row r="323" spans="1:1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9" cm="1">
        <f t="array" ref="CL323">RELU(_xlfn.ANCHORARRAY(CL315))</f>
        <v>0</v>
      </c>
      <c r="CM323" s="3">
        <v>25.563518395396727</v>
      </c>
      <c r="CN323" s="3">
        <v>24.43790058546435</v>
      </c>
      <c r="CO323" s="3">
        <v>26.996122602750972</v>
      </c>
      <c r="CP323" s="3">
        <v>26.204340499631137</v>
      </c>
      <c r="CQ323" s="3">
        <v>25.743390270222854</v>
      </c>
      <c r="CR323" s="3">
        <v>21.150501884196903</v>
      </c>
      <c r="CS323" s="3">
        <v>20.04563798756078</v>
      </c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</row>
    <row r="324" spans="1:12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3">
        <v>5.85065524257765</v>
      </c>
      <c r="CM324" s="3">
        <v>7.031950720240124</v>
      </c>
      <c r="CN324" s="3">
        <v>6.874568942212322</v>
      </c>
      <c r="CO324" s="3">
        <v>7.8959088817848535</v>
      </c>
      <c r="CP324" s="3">
        <v>7.094198562867163</v>
      </c>
      <c r="CQ324" s="3">
        <v>6.8023193625142735</v>
      </c>
      <c r="CR324" s="3">
        <v>5.7143149563962625</v>
      </c>
      <c r="CS324" s="3">
        <v>5.280722939107868</v>
      </c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</row>
    <row r="325" spans="1:12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3">
        <v>13.750722044956948</v>
      </c>
      <c r="CM325" s="3">
        <v>10.021512224695773</v>
      </c>
      <c r="CN325" s="3">
        <v>16.219641780545327</v>
      </c>
      <c r="CO325" s="3">
        <v>17.690887361712257</v>
      </c>
      <c r="CP325" s="3">
        <v>12.300622149896048</v>
      </c>
      <c r="CQ325" s="3">
        <v>11.422413291484146</v>
      </c>
      <c r="CR325" s="3">
        <v>15.010635447164539</v>
      </c>
      <c r="CS325" s="3">
        <v>13.953752418040153</v>
      </c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</row>
    <row r="326" spans="1:12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3">
        <v>14.578794392941676</v>
      </c>
      <c r="CM326" s="3">
        <v>17.09073022163188</v>
      </c>
      <c r="CN326" s="3">
        <v>15.59008201857889</v>
      </c>
      <c r="CO326" s="3">
        <v>17.98294739938101</v>
      </c>
      <c r="CP326" s="3">
        <v>15.908457197943804</v>
      </c>
      <c r="CQ326" s="3">
        <v>16.535404209651958</v>
      </c>
      <c r="CR326" s="3">
        <v>14.83849701142968</v>
      </c>
      <c r="CS326" s="3">
        <v>15.124512694704592</v>
      </c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</row>
    <row r="327" spans="1:12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3">
        <v>0</v>
      </c>
      <c r="CM327" s="3">
        <v>0</v>
      </c>
      <c r="CN327" s="3">
        <v>0</v>
      </c>
      <c r="CO327" s="3">
        <v>0</v>
      </c>
      <c r="CP327" s="3">
        <v>0</v>
      </c>
      <c r="CQ327" s="3">
        <v>0</v>
      </c>
      <c r="CR327" s="3">
        <v>0</v>
      </c>
      <c r="CS327" s="3">
        <v>0</v>
      </c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</row>
    <row r="328" spans="1:12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3">
        <v>13.058651719056066</v>
      </c>
      <c r="CM328" s="3">
        <v>8.313553079431008</v>
      </c>
      <c r="CN328" s="3">
        <v>14.319711061141252</v>
      </c>
      <c r="CO328" s="3">
        <v>13.876923919928112</v>
      </c>
      <c r="CP328" s="3">
        <v>12.164359798197754</v>
      </c>
      <c r="CQ328" s="3">
        <v>10.660039866399492</v>
      </c>
      <c r="CR328" s="3">
        <v>14.398993990679099</v>
      </c>
      <c r="CS328" s="3">
        <v>14.277385399174147</v>
      </c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</row>
    <row r="329" spans="1:12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</row>
    <row r="330" spans="1:12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</row>
    <row r="331" spans="1:12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</row>
    <row r="332" spans="1:12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8"/>
      <c r="DP332" s="1"/>
      <c r="DQ332" s="1"/>
      <c r="DR332" s="1"/>
      <c r="DS332" s="1"/>
    </row>
    <row r="333" spans="1:12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</row>
    <row r="334" spans="1:12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</row>
    <row r="335" spans="1:12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2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</row>
    <row r="336" spans="1:12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 cm="1">
        <f t="array" ref="CL336">_xlfn.ANCHORARRAY(CL274)+_xlfn.ANCHORARRAY(CL323)</f>
        <v>0</v>
      </c>
      <c r="CM336" s="1">
        <v>25.95629092658853</v>
      </c>
      <c r="CN336" s="1">
        <v>25.381119474416874</v>
      </c>
      <c r="CO336" s="1">
        <v>27.932999749041663</v>
      </c>
      <c r="CP336" s="1">
        <v>26.83393353312304</v>
      </c>
      <c r="CQ336" s="1">
        <v>26.28651242356917</v>
      </c>
      <c r="CR336" s="1">
        <v>22.126659717028172</v>
      </c>
      <c r="CS336" s="1">
        <v>21.035029019355118</v>
      </c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</row>
    <row r="337" spans="1:12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>
        <v>12.053123805336181</v>
      </c>
      <c r="CM337" s="1">
        <v>12.296271993046423</v>
      </c>
      <c r="CN337" s="1">
        <v>12.800077792631605</v>
      </c>
      <c r="CO337" s="1">
        <v>13.599852736231172</v>
      </c>
      <c r="CP337" s="1">
        <v>12.81599713865494</v>
      </c>
      <c r="CQ337" s="1">
        <v>12.247713319678727</v>
      </c>
      <c r="CR337" s="1">
        <v>11.726544479588625</v>
      </c>
      <c r="CS337" s="1">
        <v>11.294009246493545</v>
      </c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</row>
    <row r="338" spans="1:12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>
        <v>14.97695125256119</v>
      </c>
      <c r="CM338" s="1">
        <v>11.460719743194158</v>
      </c>
      <c r="CN338" s="1">
        <v>16.458650327237557</v>
      </c>
      <c r="CO338" s="1">
        <v>18.040972845845058</v>
      </c>
      <c r="CP338" s="1">
        <v>12.118617375233155</v>
      </c>
      <c r="CQ338" s="1">
        <v>11.824192406653205</v>
      </c>
      <c r="CR338" s="1">
        <v>15.77276426486818</v>
      </c>
      <c r="CS338" s="1">
        <v>14.872419856466124</v>
      </c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</row>
    <row r="339" spans="1:12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>
        <v>15.151211316858067</v>
      </c>
      <c r="CM339" s="1">
        <v>19.25113220025751</v>
      </c>
      <c r="CN339" s="1">
        <v>17.48236099932445</v>
      </c>
      <c r="CO339" s="1">
        <v>21.111789573010235</v>
      </c>
      <c r="CP339" s="1">
        <v>17.910450218515095</v>
      </c>
      <c r="CQ339" s="1">
        <v>18.435451768348095</v>
      </c>
      <c r="CR339" s="1">
        <v>15.516740277464848</v>
      </c>
      <c r="CS339" s="1">
        <v>15.38134035822112</v>
      </c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</row>
    <row r="340" spans="1:12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>
        <v>-0.17166251304150926</v>
      </c>
      <c r="CM340" s="1">
        <v>1.0201016102447529</v>
      </c>
      <c r="CN340" s="1">
        <v>-0.750933153433051</v>
      </c>
      <c r="CO340" s="1">
        <v>-1.1021024921777522</v>
      </c>
      <c r="CP340" s="1">
        <v>0.5915203519142338</v>
      </c>
      <c r="CQ340" s="1">
        <v>0.6371814449624043</v>
      </c>
      <c r="CR340" s="1">
        <v>-0.6296898687094812</v>
      </c>
      <c r="CS340" s="1">
        <v>-0.5780969577215433</v>
      </c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</row>
    <row r="341" spans="1:12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>
        <v>16.540703799553555</v>
      </c>
      <c r="CM341" s="1">
        <v>13.454348851901692</v>
      </c>
      <c r="CN341" s="1">
        <v>19.037471268010886</v>
      </c>
      <c r="CO341" s="1">
        <v>18.243857638785833</v>
      </c>
      <c r="CP341" s="1">
        <v>17.69801069913332</v>
      </c>
      <c r="CQ341" s="1">
        <v>16.6321959478963</v>
      </c>
      <c r="CR341" s="1">
        <v>19.14383906626399</v>
      </c>
      <c r="CS341" s="1">
        <v>19.114673707341197</v>
      </c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</row>
    <row r="342" spans="1:12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</row>
    <row r="343" spans="1:12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3" t="s">
        <v>61</v>
      </c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</row>
    <row r="344" spans="1:12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>
        <f>NORMALIZE(CL336:CL341)</f>
        <v>0</v>
      </c>
      <c r="CM344" s="1">
        <f>NORMALIZE(CM336:CM341)</f>
        <v>0</v>
      </c>
      <c r="CN344" s="1">
        <f>NORMALIZE(CN336:CN341)</f>
        <v>0</v>
      </c>
      <c r="CO344" s="1">
        <f>NORMALIZE(CO336:CO341)</f>
        <v>0</v>
      </c>
      <c r="CP344" s="1">
        <f>NORMALIZE(CP336:CP341)</f>
        <v>0</v>
      </c>
      <c r="CQ344" s="1">
        <f>NORMALIZE(CQ336:CQ341)</f>
        <v>0</v>
      </c>
      <c r="CR344" s="1">
        <f>NORMALIZE(CR336:CR341)</f>
        <v>0</v>
      </c>
      <c r="CS344" s="1">
        <f>NORMALIZE(CS336:CS341)</f>
        <v>0</v>
      </c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</row>
    <row r="345" spans="1:12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>
        <v>-0.17246180118184623</v>
      </c>
      <c r="CM345" s="1">
        <v>-0.19281909584160037</v>
      </c>
      <c r="CN345" s="1">
        <v>-0.2583504709733858</v>
      </c>
      <c r="CO345" s="1">
        <v>-0.2773481590186457</v>
      </c>
      <c r="CP345" s="1">
        <v>-0.21284524434243712</v>
      </c>
      <c r="CQ345" s="1">
        <v>-0.24590863084241305</v>
      </c>
      <c r="CR345" s="1">
        <v>-0.27825260117051553</v>
      </c>
      <c r="CS345" s="1">
        <v>-0.2888774240303967</v>
      </c>
      <c r="CT345" s="1"/>
      <c r="CU345" s="1"/>
      <c r="CV345" s="1"/>
      <c r="CW345" s="1"/>
      <c r="CX345" s="1"/>
      <c r="CY345" s="1"/>
      <c r="CZ345" s="1"/>
      <c r="DA345" s="1"/>
      <c r="DB345" s="1"/>
      <c r="DC345" s="7"/>
      <c r="DD345" s="7"/>
      <c r="DE345" s="7"/>
      <c r="DF345" s="7"/>
      <c r="DG345" s="7"/>
      <c r="DH345" s="7"/>
      <c r="DI345" s="7"/>
      <c r="DJ345" s="7"/>
      <c r="DK345" s="1"/>
      <c r="DL345" s="1"/>
      <c r="DM345" s="1"/>
      <c r="DN345" s="1"/>
      <c r="DO345" s="1"/>
      <c r="DP345" s="1"/>
      <c r="DQ345" s="1"/>
      <c r="DR345" s="1"/>
      <c r="DS345" s="1"/>
    </row>
    <row r="346" spans="1:12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>
        <v>0.2302592424650842</v>
      </c>
      <c r="CM346" s="1">
        <v>-0.29287491059667725</v>
      </c>
      <c r="CN346" s="1">
        <v>0.1583931324997932</v>
      </c>
      <c r="CO346" s="1">
        <v>0.1780562908542117</v>
      </c>
      <c r="CP346" s="1">
        <v>-0.2932787560106887</v>
      </c>
      <c r="CQ346" s="1">
        <v>-0.2955934767677858</v>
      </c>
      <c r="CR346" s="1">
        <v>0.22975122080081284</v>
      </c>
      <c r="CS346" s="1">
        <v>0.17553169161334287</v>
      </c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</row>
    <row r="347" spans="1:12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>
        <v>0.25426140956500165</v>
      </c>
      <c r="CM347" s="1">
        <v>0.6400123694117175</v>
      </c>
      <c r="CN347" s="1">
        <v>0.27500278568120573</v>
      </c>
      <c r="CO347" s="1">
        <v>0.4929461312050076</v>
      </c>
      <c r="CP347" s="1">
        <v>0.37473238944453746</v>
      </c>
      <c r="CQ347" s="1">
        <v>0.4799984542467148</v>
      </c>
      <c r="CR347" s="1">
        <v>0.1976073504677173</v>
      </c>
      <c r="CS347" s="1">
        <v>0.24157981909606827</v>
      </c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</row>
    <row r="348" spans="1:12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>
        <v>-1.8562748145559245</v>
      </c>
      <c r="CM348" s="1">
        <v>-1.5431193495573616</v>
      </c>
      <c r="CN348" s="1">
        <v>-1.8019298530822394</v>
      </c>
      <c r="CO348" s="1">
        <v>-1.7849263527169563</v>
      </c>
      <c r="CP348" s="1">
        <v>-1.6227766014556668</v>
      </c>
      <c r="CQ348" s="1">
        <v>-1.6079841968066069</v>
      </c>
      <c r="CR348" s="1">
        <v>-1.8295806572847888</v>
      </c>
      <c r="CS348" s="1">
        <v>-1.8296492761377576</v>
      </c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</row>
    <row r="349" spans="1:12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>
        <v>0.4456468017849783</v>
      </c>
      <c r="CM349" s="1">
        <v>-0.05414156408670213</v>
      </c>
      <c r="CN349" s="1">
        <v>0.45214352870062263</v>
      </c>
      <c r="CO349" s="1">
        <v>0.19886064543961274</v>
      </c>
      <c r="CP349" s="1">
        <v>0.3502303068530511</v>
      </c>
      <c r="CQ349" s="1">
        <v>0.2684516690758488</v>
      </c>
      <c r="CR349" s="1">
        <v>0.6529904352128866</v>
      </c>
      <c r="CS349" s="1">
        <v>0.7260949371309494</v>
      </c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</row>
    <row r="350" spans="1:12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5" t="s">
        <v>62</v>
      </c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>
        <v>1</v>
      </c>
      <c r="CM350" s="1">
        <v>1</v>
      </c>
      <c r="CN350" s="1">
        <v>1</v>
      </c>
      <c r="CO350" s="1">
        <v>1</v>
      </c>
      <c r="CP350" s="1">
        <v>1</v>
      </c>
      <c r="CQ350" s="1">
        <v>1</v>
      </c>
      <c r="CR350" s="1">
        <v>1</v>
      </c>
      <c r="CS350" s="1">
        <v>1</v>
      </c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</row>
    <row r="351" spans="1:12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3" t="s">
        <v>63</v>
      </c>
      <c r="CB351" s="1"/>
      <c r="CC351" s="1"/>
      <c r="CD351" s="1"/>
      <c r="CE351" s="1"/>
      <c r="CF351" s="1"/>
      <c r="CG351" s="3" t="s">
        <v>64</v>
      </c>
      <c r="CH351" s="1"/>
      <c r="CI351" s="1"/>
      <c r="CJ351" s="1"/>
      <c r="CK351" s="1"/>
      <c r="CL351" s="1" t="s">
        <v>44</v>
      </c>
      <c r="CM351" s="1" t="s">
        <v>44</v>
      </c>
      <c r="CN351" s="1" t="s">
        <v>44</v>
      </c>
      <c r="CO351" s="1" t="s">
        <v>44</v>
      </c>
      <c r="CP351" s="1" t="s">
        <v>44</v>
      </c>
      <c r="CQ351" s="1" t="s">
        <v>44</v>
      </c>
      <c r="CR351" s="1" t="s">
        <v>44</v>
      </c>
      <c r="CS351" s="1" t="s">
        <v>44</v>
      </c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</row>
    <row r="352" spans="1:12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>
        <v>1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2</v>
      </c>
      <c r="CH352" s="1" t="s">
        <v>45</v>
      </c>
      <c r="CI352" s="1"/>
      <c r="CJ352" s="1"/>
      <c r="CK352" s="1"/>
      <c r="CL352" s="1">
        <f>MMULT($CA352:$CG357,CL344:CS350)</f>
        <v>0</v>
      </c>
      <c r="CM352" s="1">
        <v>3.4429425506706215</v>
      </c>
      <c r="CN352" s="1">
        <v>3.1747408771740044</v>
      </c>
      <c r="CO352" s="1">
        <v>3.1924114442367695</v>
      </c>
      <c r="CP352" s="1">
        <v>3.403937905511203</v>
      </c>
      <c r="CQ352" s="1">
        <v>3.4010361810942404</v>
      </c>
      <c r="CR352" s="1">
        <v>3.0274842519738856</v>
      </c>
      <c r="CS352" s="1">
        <v>2.9753202523277924</v>
      </c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</row>
    <row r="353" spans="1:12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>
        <v>0</v>
      </c>
      <c r="CB353" s="1">
        <v>2</v>
      </c>
      <c r="CC353" s="1">
        <v>0</v>
      </c>
      <c r="CD353" s="1">
        <v>0</v>
      </c>
      <c r="CE353" s="1">
        <v>0</v>
      </c>
      <c r="CF353" s="1">
        <v>0</v>
      </c>
      <c r="CG353" s="1">
        <v>3</v>
      </c>
      <c r="CH353" s="1" t="s">
        <v>45</v>
      </c>
      <c r="CI353" s="1"/>
      <c r="CJ353" s="1"/>
      <c r="CK353" s="1"/>
      <c r="CL353" s="1">
        <v>2.6550763976363077</v>
      </c>
      <c r="CM353" s="1">
        <v>2.6143618083167994</v>
      </c>
      <c r="CN353" s="1">
        <v>2.4832990580532286</v>
      </c>
      <c r="CO353" s="1">
        <v>2.4453036819627085</v>
      </c>
      <c r="CP353" s="1">
        <v>2.5743095113151258</v>
      </c>
      <c r="CQ353" s="1">
        <v>2.508182738315174</v>
      </c>
      <c r="CR353" s="1">
        <v>2.443494797658969</v>
      </c>
      <c r="CS353" s="1">
        <v>2.4222451519392068</v>
      </c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</row>
    <row r="354" spans="1:12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>
        <v>0</v>
      </c>
      <c r="CB354" s="1">
        <v>0</v>
      </c>
      <c r="CC354" s="1">
        <v>4</v>
      </c>
      <c r="CD354" s="1">
        <v>0</v>
      </c>
      <c r="CE354" s="1">
        <v>0</v>
      </c>
      <c r="CF354" s="1">
        <v>0</v>
      </c>
      <c r="CG354" s="1">
        <v>0</v>
      </c>
      <c r="CH354" s="1" t="s">
        <v>45</v>
      </c>
      <c r="CI354" s="1"/>
      <c r="CJ354" s="1"/>
      <c r="CK354" s="1"/>
      <c r="CL354" s="1">
        <v>0.9210369698603368</v>
      </c>
      <c r="CM354" s="1">
        <v>-1.171499642386709</v>
      </c>
      <c r="CN354" s="1">
        <v>0.6335725299991728</v>
      </c>
      <c r="CO354" s="1">
        <v>0.7122251634168468</v>
      </c>
      <c r="CP354" s="1">
        <v>-1.1731150240427548</v>
      </c>
      <c r="CQ354" s="1">
        <v>-1.1823739070711432</v>
      </c>
      <c r="CR354" s="1">
        <v>0.9190048832032514</v>
      </c>
      <c r="CS354" s="1">
        <v>0.7021267664533715</v>
      </c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</row>
    <row r="355" spans="1:12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>
        <v>0</v>
      </c>
      <c r="CB355" s="1">
        <v>0</v>
      </c>
      <c r="CC355" s="1">
        <v>0</v>
      </c>
      <c r="CD355" s="1">
        <v>5</v>
      </c>
      <c r="CE355" s="1">
        <v>0</v>
      </c>
      <c r="CF355" s="1">
        <v>0</v>
      </c>
      <c r="CG355" s="1">
        <v>1</v>
      </c>
      <c r="CH355" s="1" t="s">
        <v>45</v>
      </c>
      <c r="CI355" s="1"/>
      <c r="CJ355" s="1"/>
      <c r="CK355" s="1"/>
      <c r="CL355" s="1">
        <v>2.271307047825008</v>
      </c>
      <c r="CM355" s="1">
        <v>4.2000618470585875</v>
      </c>
      <c r="CN355" s="1">
        <v>2.3750139284060285</v>
      </c>
      <c r="CO355" s="1">
        <v>3.4647306560250377</v>
      </c>
      <c r="CP355" s="1">
        <v>2.873661947222687</v>
      </c>
      <c r="CQ355" s="1">
        <v>3.399992271233574</v>
      </c>
      <c r="CR355" s="1">
        <v>1.9880367523385865</v>
      </c>
      <c r="CS355" s="1">
        <v>2.2078990954803412</v>
      </c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</row>
    <row r="356" spans="1:12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>
        <v>0</v>
      </c>
      <c r="CB356" s="1">
        <v>0</v>
      </c>
      <c r="CC356" s="1">
        <v>0</v>
      </c>
      <c r="CD356" s="1">
        <v>0</v>
      </c>
      <c r="CE356" s="1">
        <v>4</v>
      </c>
      <c r="CF356" s="1">
        <v>0</v>
      </c>
      <c r="CG356" s="1">
        <v>4</v>
      </c>
      <c r="CH356" s="1" t="s">
        <v>45</v>
      </c>
      <c r="CI356" s="1"/>
      <c r="CJ356" s="1"/>
      <c r="CK356" s="1"/>
      <c r="CL356" s="1">
        <v>-3.425099258223698</v>
      </c>
      <c r="CM356" s="1">
        <v>-2.1724773982294465</v>
      </c>
      <c r="CN356" s="1">
        <v>-3.2077194123289576</v>
      </c>
      <c r="CO356" s="1">
        <v>-3.1397054108678253</v>
      </c>
      <c r="CP356" s="1">
        <v>-2.4911064058226673</v>
      </c>
      <c r="CQ356" s="1">
        <v>-2.4319367872264275</v>
      </c>
      <c r="CR356" s="1">
        <v>-3.318322629139155</v>
      </c>
      <c r="CS356" s="1">
        <v>-3.3185971045510305</v>
      </c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</row>
    <row r="357" spans="1:12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5</v>
      </c>
      <c r="CG357" s="1">
        <v>2</v>
      </c>
      <c r="CH357" s="1" t="s">
        <v>45</v>
      </c>
      <c r="CI357" s="1"/>
      <c r="CJ357" s="1"/>
      <c r="CK357" s="1"/>
      <c r="CL357" s="1">
        <v>4.2282340089248915</v>
      </c>
      <c r="CM357" s="1">
        <v>1.7292921795664893</v>
      </c>
      <c r="CN357" s="1">
        <v>4.2607176435031135</v>
      </c>
      <c r="CO357" s="1">
        <v>2.9943032271980634</v>
      </c>
      <c r="CP357" s="1">
        <v>3.7511515342652557</v>
      </c>
      <c r="CQ357" s="1">
        <v>3.3422583453792436</v>
      </c>
      <c r="CR357" s="1">
        <v>5.264952176064433</v>
      </c>
      <c r="CS357" s="1">
        <v>5.630474685654747</v>
      </c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</row>
    <row r="358" spans="1:12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>
        <v>1</v>
      </c>
      <c r="CM358" s="1">
        <v>1</v>
      </c>
      <c r="CN358" s="1">
        <v>1</v>
      </c>
      <c r="CO358" s="1">
        <v>1</v>
      </c>
      <c r="CP358" s="1">
        <v>1</v>
      </c>
      <c r="CQ358" s="1">
        <v>1</v>
      </c>
      <c r="CR358" s="1">
        <v>1</v>
      </c>
      <c r="CS358" s="1">
        <v>1</v>
      </c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</row>
    <row r="359" spans="1:12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 t="s">
        <v>44</v>
      </c>
      <c r="CM359" s="1" t="s">
        <v>44</v>
      </c>
      <c r="CN359" s="1" t="s">
        <v>44</v>
      </c>
      <c r="CO359" s="1" t="s">
        <v>44</v>
      </c>
      <c r="CP359" s="1" t="s">
        <v>44</v>
      </c>
      <c r="CQ359" s="1" t="s">
        <v>44</v>
      </c>
      <c r="CR359" s="1" t="s">
        <v>44</v>
      </c>
      <c r="CS359" s="1" t="s">
        <v>44</v>
      </c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</row>
    <row r="360" spans="1:12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</row>
    <row r="361" spans="1:12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</row>
    <row r="362" spans="1:12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</row>
    <row r="363" spans="1:12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</row>
    <row r="364" spans="1:12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2" t="s">
        <v>66</v>
      </c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</row>
    <row r="365" spans="1:12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</row>
    <row r="366" spans="1:12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</row>
    <row r="367" spans="1:12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 cm="1">
        <f t="array" ref="BY367">_xlfn.SEQUENCE(24,1,0)</f>
        <v>0</v>
      </c>
      <c r="BZ367" s="1"/>
      <c r="CA367" s="1">
        <v>0</v>
      </c>
      <c r="CB367" s="1">
        <v>2</v>
      </c>
      <c r="CC367" s="1">
        <v>0</v>
      </c>
      <c r="CD367" s="1">
        <v>0</v>
      </c>
      <c r="CE367" s="1">
        <v>1</v>
      </c>
      <c r="CF367" s="1">
        <v>1</v>
      </c>
      <c r="CG367" s="1">
        <v>0</v>
      </c>
      <c r="CH367" s="1" t="s">
        <v>45</v>
      </c>
      <c r="CI367" s="1"/>
      <c r="CJ367" s="1"/>
      <c r="CK367" s="1"/>
      <c r="CL367" s="1">
        <f>MMULT($CA367:$CG390,CL352:CS358)</f>
        <v>0</v>
      </c>
      <c r="CM367" s="1">
        <v>4.785538397970642</v>
      </c>
      <c r="CN367" s="1">
        <v>6.019596347280613</v>
      </c>
      <c r="CO367" s="1">
        <v>4.745205180255655</v>
      </c>
      <c r="CP367" s="1">
        <v>6.4086641510728395</v>
      </c>
      <c r="CQ367" s="1">
        <v>5.926687034783164</v>
      </c>
      <c r="CR367" s="1">
        <v>6.833619142243216</v>
      </c>
      <c r="CS367" s="1">
        <v>7.15636788498213</v>
      </c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</row>
    <row r="368" spans="1:12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>
        <v>1</v>
      </c>
      <c r="BZ368" s="1"/>
      <c r="CA368" s="1">
        <v>1</v>
      </c>
      <c r="CB368" s="1">
        <v>0</v>
      </c>
      <c r="CC368" s="1">
        <v>-1</v>
      </c>
      <c r="CD368" s="1">
        <v>-2</v>
      </c>
      <c r="CE368" s="1">
        <v>0</v>
      </c>
      <c r="CF368" s="1">
        <v>1</v>
      </c>
      <c r="CG368" s="1">
        <v>-3</v>
      </c>
      <c r="CH368" s="1" t="s">
        <v>45</v>
      </c>
      <c r="CI368" s="1"/>
      <c r="CJ368" s="1"/>
      <c r="CK368" s="1"/>
      <c r="CL368" s="1">
        <v>-1.1368478946627554</v>
      </c>
      <c r="CM368" s="1">
        <v>-5.056389321493356</v>
      </c>
      <c r="CN368" s="1">
        <v>-0.9481418661341117</v>
      </c>
      <c r="CO368" s="1">
        <v>-4.454971804032089</v>
      </c>
      <c r="CP368" s="1">
        <v>-0.4191194306261612</v>
      </c>
      <c r="CQ368" s="1">
        <v>-1.874316108922521</v>
      </c>
      <c r="CR368" s="1">
        <v>0.3973580401578949</v>
      </c>
      <c r="CS368" s="1">
        <v>0.48786998056848496</v>
      </c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</row>
    <row r="369" spans="1:12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>
        <v>2</v>
      </c>
      <c r="BZ369" s="1"/>
      <c r="CA369" s="1">
        <v>-1</v>
      </c>
      <c r="CB369" s="1">
        <v>2</v>
      </c>
      <c r="CC369" s="1">
        <v>-1</v>
      </c>
      <c r="CD369" s="1">
        <v>-2</v>
      </c>
      <c r="CE369" s="1">
        <v>-2</v>
      </c>
      <c r="CF369" s="1">
        <v>0</v>
      </c>
      <c r="CG369" s="1">
        <v>0</v>
      </c>
      <c r="CH369" s="1" t="s">
        <v>45</v>
      </c>
      <c r="CI369" s="1"/>
      <c r="CJ369" s="1"/>
      <c r="CK369" s="1"/>
      <c r="CL369" s="1">
        <v>3.5981310842869516</v>
      </c>
      <c r="CM369" s="1">
        <v>-1.0978881893085957</v>
      </c>
      <c r="CN369" s="1">
        <v>2.8236956767791384</v>
      </c>
      <c r="CO369" s="1">
        <v>0.3359202659573759</v>
      </c>
      <c r="CP369" s="1">
        <v>2.1526850583617634</v>
      </c>
      <c r="CQ369" s="1">
        <v>0.8615922345929583</v>
      </c>
      <c r="CR369" s="1">
        <v>3.601072213741938</v>
      </c>
      <c r="CS369" s="1">
        <v>3.388439303238628</v>
      </c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</row>
    <row r="370" spans="1:12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>
        <v>3</v>
      </c>
      <c r="BZ370" s="1"/>
      <c r="CA370" s="1">
        <v>1</v>
      </c>
      <c r="CB370" s="1">
        <v>0</v>
      </c>
      <c r="CC370" s="1">
        <v>0</v>
      </c>
      <c r="CD370" s="1">
        <v>1</v>
      </c>
      <c r="CE370" s="1">
        <v>0</v>
      </c>
      <c r="CF370" s="1">
        <v>1</v>
      </c>
      <c r="CG370" s="1">
        <v>-4</v>
      </c>
      <c r="CH370" s="1" t="s">
        <v>45</v>
      </c>
      <c r="CI370" s="1"/>
      <c r="CJ370" s="1"/>
      <c r="CK370" s="1"/>
      <c r="CL370" s="1">
        <v>5.5981102186726055</v>
      </c>
      <c r="CM370" s="1">
        <v>5.372296577295698</v>
      </c>
      <c r="CN370" s="1">
        <v>5.8104724490831465</v>
      </c>
      <c r="CO370" s="1">
        <v>5.6514453274598715</v>
      </c>
      <c r="CP370" s="1">
        <v>6.028751386999145</v>
      </c>
      <c r="CQ370" s="1">
        <v>6.143286797707059</v>
      </c>
      <c r="CR370" s="1">
        <v>6.280473180376905</v>
      </c>
      <c r="CS370" s="1">
        <v>6.81369403346288</v>
      </c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</row>
    <row r="371" spans="1:12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>
        <v>4</v>
      </c>
      <c r="BZ371" s="1"/>
      <c r="CA371" s="1">
        <v>0</v>
      </c>
      <c r="CB371" s="1">
        <v>1</v>
      </c>
      <c r="CC371" s="1">
        <v>-2</v>
      </c>
      <c r="CD371" s="1">
        <v>0</v>
      </c>
      <c r="CE371" s="1">
        <v>0</v>
      </c>
      <c r="CF371" s="1">
        <v>0</v>
      </c>
      <c r="CG371" s="1">
        <v>0</v>
      </c>
      <c r="CH371" s="1" t="s">
        <v>45</v>
      </c>
      <c r="CI371" s="1"/>
      <c r="CJ371" s="1"/>
      <c r="CK371" s="1"/>
      <c r="CL371" s="1">
        <v>0.8130024579156341</v>
      </c>
      <c r="CM371" s="1">
        <v>4.957361093090217</v>
      </c>
      <c r="CN371" s="1">
        <v>1.216153998054883</v>
      </c>
      <c r="CO371" s="1">
        <v>1.0208533551290149</v>
      </c>
      <c r="CP371" s="1">
        <v>4.920539559400636</v>
      </c>
      <c r="CQ371" s="1">
        <v>4.87293055245746</v>
      </c>
      <c r="CR371" s="1">
        <v>0.6054850312524662</v>
      </c>
      <c r="CS371" s="1">
        <v>1.0179916190324638</v>
      </c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</row>
    <row r="372" spans="1:12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>
        <v>5</v>
      </c>
      <c r="BZ372" s="1"/>
      <c r="CA372" s="1">
        <v>-2</v>
      </c>
      <c r="CB372" s="1">
        <v>-1</v>
      </c>
      <c r="CC372" s="1">
        <v>0</v>
      </c>
      <c r="CD372" s="1">
        <v>1</v>
      </c>
      <c r="CE372" s="1">
        <v>-2</v>
      </c>
      <c r="CF372" s="1">
        <v>1</v>
      </c>
      <c r="CG372" s="1">
        <v>2</v>
      </c>
      <c r="CH372" s="1" t="s">
        <v>45</v>
      </c>
      <c r="CI372" s="1"/>
      <c r="CJ372" s="1"/>
      <c r="CK372" s="1"/>
      <c r="CL372" s="1">
        <v>6.497524851715575</v>
      </c>
      <c r="CM372" s="1">
        <v>2.774061913425928</v>
      </c>
      <c r="CN372" s="1">
        <v>6.21838958416582</v>
      </c>
      <c r="CO372" s="1">
        <v>5.908318134522505</v>
      </c>
      <c r="CP372" s="1">
        <v>4.224840970795746</v>
      </c>
      <c r="CQ372" s="1">
        <v>4.295869090562017</v>
      </c>
      <c r="CR372" s="1">
        <v>7.391170885074589</v>
      </c>
      <c r="CS372" s="1">
        <v>8.102682333642358</v>
      </c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</row>
    <row r="373" spans="1:12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>
        <v>6</v>
      </c>
      <c r="BZ373" s="1"/>
      <c r="CA373" s="1">
        <v>0</v>
      </c>
      <c r="CB373" s="1">
        <v>2</v>
      </c>
      <c r="CC373" s="1">
        <v>1</v>
      </c>
      <c r="CD373" s="1">
        <v>-2</v>
      </c>
      <c r="CE373" s="1">
        <v>0</v>
      </c>
      <c r="CF373" s="1">
        <v>0</v>
      </c>
      <c r="CG373" s="1">
        <v>0</v>
      </c>
      <c r="CH373" s="1" t="s">
        <v>45</v>
      </c>
      <c r="CI373" s="1"/>
      <c r="CJ373" s="1"/>
      <c r="CK373" s="1"/>
      <c r="CL373" s="1">
        <v>1.688575669482936</v>
      </c>
      <c r="CM373" s="1">
        <v>-4.342899719870285</v>
      </c>
      <c r="CN373" s="1">
        <v>0.8501427892935727</v>
      </c>
      <c r="CO373" s="1">
        <v>-1.326628784707812</v>
      </c>
      <c r="CP373" s="1">
        <v>-1.7718198958578775</v>
      </c>
      <c r="CQ373" s="1">
        <v>-2.965992972907943</v>
      </c>
      <c r="CR373" s="1">
        <v>1.829920973844016</v>
      </c>
      <c r="CS373" s="1">
        <v>1.1308188793711027</v>
      </c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</row>
    <row r="374" spans="1:12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>
        <v>7</v>
      </c>
      <c r="BZ374" s="1"/>
      <c r="CA374" s="1">
        <v>-2</v>
      </c>
      <c r="CB374" s="1">
        <v>0</v>
      </c>
      <c r="CC374" s="1">
        <v>1</v>
      </c>
      <c r="CD374" s="1">
        <v>0</v>
      </c>
      <c r="CE374" s="1">
        <v>0</v>
      </c>
      <c r="CF374" s="1">
        <v>1</v>
      </c>
      <c r="CG374" s="1">
        <v>-1</v>
      </c>
      <c r="CH374" s="1" t="s">
        <v>45</v>
      </c>
      <c r="CI374" s="1"/>
      <c r="CJ374" s="1"/>
      <c r="CK374" s="1"/>
      <c r="CL374" s="1">
        <v>-2.047867345060184</v>
      </c>
      <c r="CM374" s="1">
        <v>-7.328092564161462</v>
      </c>
      <c r="CN374" s="1">
        <v>-2.4551915808457228</v>
      </c>
      <c r="CO374" s="1">
        <v>-3.6782944978586283</v>
      </c>
      <c r="CP374" s="1">
        <v>-5.229839300799904</v>
      </c>
      <c r="CQ374" s="1">
        <v>-5.642187923880381</v>
      </c>
      <c r="CR374" s="1">
        <v>-0.8710114446800867</v>
      </c>
      <c r="CS374" s="1">
        <v>-0.6180390525474664</v>
      </c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</row>
    <row r="375" spans="1:12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>
        <v>8</v>
      </c>
      <c r="BZ375" s="1"/>
      <c r="CA375" s="1">
        <v>1</v>
      </c>
      <c r="CB375" s="1">
        <v>-1</v>
      </c>
      <c r="CC375" s="1">
        <v>2</v>
      </c>
      <c r="CD375" s="1">
        <v>-1</v>
      </c>
      <c r="CE375" s="1">
        <v>0</v>
      </c>
      <c r="CF375" s="1">
        <v>0</v>
      </c>
      <c r="CG375" s="1">
        <v>0</v>
      </c>
      <c r="CH375" s="1" t="s">
        <v>45</v>
      </c>
      <c r="CI375" s="1"/>
      <c r="CJ375" s="1"/>
      <c r="CK375" s="1"/>
      <c r="CL375" s="1">
        <v>0.014259656182064262</v>
      </c>
      <c r="CM375" s="1">
        <v>-5.714480389478183</v>
      </c>
      <c r="CN375" s="1">
        <v>-0.4164270492869071</v>
      </c>
      <c r="CO375" s="1">
        <v>-1.293172566917283</v>
      </c>
      <c r="CP375" s="1">
        <v>-4.390263601112119</v>
      </c>
      <c r="CQ375" s="1">
        <v>-4.8718866425967935</v>
      </c>
      <c r="CR375" s="1">
        <v>0.4339624683828329</v>
      </c>
      <c r="CS375" s="1">
        <v>-0.25057046218501267</v>
      </c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</row>
    <row r="376" spans="1:12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>
        <v>9</v>
      </c>
      <c r="BZ376" s="1"/>
      <c r="CA376" s="1">
        <v>1</v>
      </c>
      <c r="CB376" s="1">
        <v>-1</v>
      </c>
      <c r="CC376" s="1">
        <v>-1</v>
      </c>
      <c r="CD376" s="1">
        <v>0</v>
      </c>
      <c r="CE376" s="1">
        <v>-1</v>
      </c>
      <c r="CF376" s="1">
        <v>0</v>
      </c>
      <c r="CG376" s="1">
        <v>-1</v>
      </c>
      <c r="CH376" s="1" t="s">
        <v>45</v>
      </c>
      <c r="CI376" s="1"/>
      <c r="CJ376" s="1"/>
      <c r="CK376" s="1"/>
      <c r="CL376" s="1">
        <v>1.9475550526497596</v>
      </c>
      <c r="CM376" s="1">
        <v>3.172557782969978</v>
      </c>
      <c r="CN376" s="1">
        <v>2.265588701450561</v>
      </c>
      <c r="CO376" s="1">
        <v>2.1745880097250394</v>
      </c>
      <c r="CP376" s="1">
        <v>3.493849824061499</v>
      </c>
      <c r="CQ376" s="1">
        <v>3.5071641370766375</v>
      </c>
      <c r="CR376" s="1">
        <v>1.9833072002508203</v>
      </c>
      <c r="CS376" s="1">
        <v>2.169545438486245</v>
      </c>
      <c r="CT376" s="1"/>
      <c r="CU376" s="1"/>
      <c r="CV376" s="1"/>
      <c r="CW376" s="1"/>
      <c r="CX376" s="1"/>
      <c r="CY376" s="1"/>
      <c r="CZ376" s="1"/>
      <c r="DA376" s="2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</row>
    <row r="377" spans="1:12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>
        <v>10</v>
      </c>
      <c r="BZ377" s="1"/>
      <c r="CA377" s="1">
        <v>1</v>
      </c>
      <c r="CB377" s="1">
        <v>0</v>
      </c>
      <c r="CC377" s="1">
        <v>2</v>
      </c>
      <c r="CD377" s="1">
        <v>1</v>
      </c>
      <c r="CE377" s="1">
        <v>-2</v>
      </c>
      <c r="CF377" s="1">
        <v>0</v>
      </c>
      <c r="CG377" s="1">
        <v>0</v>
      </c>
      <c r="CH377" s="1" t="s">
        <v>45</v>
      </c>
      <c r="CI377" s="1"/>
      <c r="CJ377" s="1"/>
      <c r="CK377" s="1"/>
      <c r="CL377" s="1">
        <v>14.062148665915783</v>
      </c>
      <c r="CM377" s="1">
        <v>9.644959909414684</v>
      </c>
      <c r="CN377" s="1">
        <v>13.232338690236293</v>
      </c>
      <c r="CO377" s="1">
        <v>14.361003248831151</v>
      </c>
      <c r="CP377" s="1">
        <v>8.913582616293715</v>
      </c>
      <c r="CQ377" s="1">
        <v>9.300154212638382</v>
      </c>
      <c r="CR377" s="1">
        <v>13.490176028997286</v>
      </c>
      <c r="CS377" s="1">
        <v>13.224667089816938</v>
      </c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</row>
    <row r="378" spans="1:12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>
        <v>11</v>
      </c>
      <c r="BZ378" s="1"/>
      <c r="CA378" s="1">
        <v>0</v>
      </c>
      <c r="CB378" s="1">
        <v>0</v>
      </c>
      <c r="CC378" s="1">
        <v>1</v>
      </c>
      <c r="CD378" s="1">
        <v>-2</v>
      </c>
      <c r="CE378" s="1">
        <v>1</v>
      </c>
      <c r="CF378" s="1">
        <v>1</v>
      </c>
      <c r="CG378" s="1">
        <v>2</v>
      </c>
      <c r="CH378" s="1" t="s">
        <v>45</v>
      </c>
      <c r="CI378" s="1"/>
      <c r="CJ378" s="1"/>
      <c r="CK378" s="1"/>
      <c r="CL378" s="1">
        <v>-0.8184423750884857</v>
      </c>
      <c r="CM378" s="1">
        <v>-8.01480855516684</v>
      </c>
      <c r="CN378" s="1">
        <v>-1.0634570956387286</v>
      </c>
      <c r="CO378" s="1">
        <v>-4.362638332302989</v>
      </c>
      <c r="CP378" s="1">
        <v>-3.660393790045541</v>
      </c>
      <c r="CQ378" s="1">
        <v>-5.072036891385475</v>
      </c>
      <c r="CR378" s="1">
        <v>0.8895609254513568</v>
      </c>
      <c r="CS378" s="1">
        <v>0.5982061565964054</v>
      </c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</row>
    <row r="379" spans="1:12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>
        <v>12</v>
      </c>
      <c r="BZ379" s="1"/>
      <c r="CA379" s="1">
        <v>2</v>
      </c>
      <c r="CB379" s="1">
        <v>0</v>
      </c>
      <c r="CC379" s="1">
        <v>2</v>
      </c>
      <c r="CD379" s="1">
        <v>1</v>
      </c>
      <c r="CE379" s="1">
        <v>2</v>
      </c>
      <c r="CF379" s="1">
        <v>0</v>
      </c>
      <c r="CG379" s="1">
        <v>0</v>
      </c>
      <c r="CH379" s="1" t="s">
        <v>45</v>
      </c>
      <c r="CI379" s="1"/>
      <c r="CJ379" s="1"/>
      <c r="CK379" s="1"/>
      <c r="CL379" s="1">
        <v>3.460320794943698</v>
      </c>
      <c r="CM379" s="1">
        <v>4.39799286716752</v>
      </c>
      <c r="CN379" s="1">
        <v>3.5762019180944673</v>
      </c>
      <c r="CO379" s="1">
        <v>4.99459304959662</v>
      </c>
      <c r="CP379" s="1">
        <v>2.3530948985142492</v>
      </c>
      <c r="CQ379" s="1">
        <v>2.973443244826914</v>
      </c>
      <c r="CR379" s="1">
        <v>3.24436976441455</v>
      </c>
      <c r="CS379" s="1">
        <v>2.9255989239406084</v>
      </c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</row>
    <row r="380" spans="1:12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>
        <v>13</v>
      </c>
      <c r="BZ380" s="1"/>
      <c r="CA380" s="1">
        <v>0</v>
      </c>
      <c r="CB380" s="1">
        <v>0</v>
      </c>
      <c r="CC380" s="1">
        <v>2</v>
      </c>
      <c r="CD380" s="1">
        <v>-2</v>
      </c>
      <c r="CE380" s="1">
        <v>1</v>
      </c>
      <c r="CF380" s="1">
        <v>2</v>
      </c>
      <c r="CG380" s="1">
        <v>0</v>
      </c>
      <c r="CH380" s="1" t="s">
        <v>45</v>
      </c>
      <c r="CI380" s="1"/>
      <c r="CJ380" s="1"/>
      <c r="CK380" s="1"/>
      <c r="CL380" s="1">
        <v>2.3308286036967427</v>
      </c>
      <c r="CM380" s="1">
        <v>-9.457016017987062</v>
      </c>
      <c r="CN380" s="1">
        <v>1.8308330778635575</v>
      </c>
      <c r="CO380" s="1">
        <v>-2.6561099416880793</v>
      </c>
      <c r="CP380" s="1">
        <v>-3.0823572798230403</v>
      </c>
      <c r="CQ380" s="1">
        <v>-4.912152453077374</v>
      </c>
      <c r="CR380" s="1">
        <v>5.073517984719041</v>
      </c>
      <c r="CS380" s="1">
        <v>4.930807608704523</v>
      </c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</row>
    <row r="381" spans="1:12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>
        <v>14</v>
      </c>
      <c r="BZ381" s="1"/>
      <c r="CA381" s="1">
        <v>2</v>
      </c>
      <c r="CB381" s="1">
        <v>1</v>
      </c>
      <c r="CC381" s="1">
        <v>-2</v>
      </c>
      <c r="CD381" s="1">
        <v>-2</v>
      </c>
      <c r="CE381" s="1">
        <v>0</v>
      </c>
      <c r="CF381" s="1">
        <v>-2</v>
      </c>
      <c r="CG381" s="1">
        <v>1</v>
      </c>
      <c r="CH381" s="1" t="s">
        <v>45</v>
      </c>
      <c r="CI381" s="1"/>
      <c r="CJ381" s="1"/>
      <c r="CK381" s="1"/>
      <c r="CL381" s="1">
        <v>-4.9889413317387525</v>
      </c>
      <c r="CM381" s="1">
        <v>0.9845381411813063</v>
      </c>
      <c r="CN381" s="1">
        <v>-4.705827391415392</v>
      </c>
      <c r="CO381" s="1">
        <v>-4.512391522843648</v>
      </c>
      <c r="CP381" s="1">
        <v>-0.521211592552846</v>
      </c>
      <c r="CQ381" s="1">
        <v>-0.8094983185796947</v>
      </c>
      <c r="CR381" s="1">
        <v>-6.845524321605801</v>
      </c>
      <c r="CS381" s="1">
        <v>-7.708115438582128</v>
      </c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</row>
    <row r="382" spans="1:12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>
        <v>15</v>
      </c>
      <c r="BZ382" s="1"/>
      <c r="CA382" s="1">
        <v>2</v>
      </c>
      <c r="CB382" s="1">
        <v>-2</v>
      </c>
      <c r="CC382" s="1">
        <v>2</v>
      </c>
      <c r="CD382" s="1">
        <v>0</v>
      </c>
      <c r="CE382" s="1">
        <v>-2</v>
      </c>
      <c r="CF382" s="1">
        <v>1</v>
      </c>
      <c r="CG382" s="1">
        <v>0</v>
      </c>
      <c r="CH382" s="1" t="s">
        <v>45</v>
      </c>
      <c r="CI382" s="1"/>
      <c r="CJ382" s="1"/>
      <c r="CK382" s="1"/>
      <c r="CL382" s="1">
        <v>13.807491993665758</v>
      </c>
      <c r="CM382" s="1">
        <v>5.388409175959609</v>
      </c>
      <c r="CN382" s="1">
        <v>13.326185166400926</v>
      </c>
      <c r="CO382" s="1">
        <v>12.19237990031553</v>
      </c>
      <c r="CP382" s="1">
        <v>8.046391086217236</v>
      </c>
      <c r="CQ382" s="1">
        <v>7.627090991247945</v>
      </c>
      <c r="CR382" s="1">
        <v>14.90758610937908</v>
      </c>
      <c r="CS382" s="1">
        <v>14.778072628440722</v>
      </c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</row>
    <row r="383" spans="1:12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>
        <v>16</v>
      </c>
      <c r="BZ383" s="1"/>
      <c r="CA383" s="1">
        <v>0</v>
      </c>
      <c r="CB383" s="1">
        <v>1</v>
      </c>
      <c r="CC383" s="1">
        <v>-1</v>
      </c>
      <c r="CD383" s="1">
        <v>0</v>
      </c>
      <c r="CE383" s="1">
        <v>2</v>
      </c>
      <c r="CF383" s="1">
        <v>-1</v>
      </c>
      <c r="CG383" s="1">
        <v>0</v>
      </c>
      <c r="CH383" s="1" t="s">
        <v>45</v>
      </c>
      <c r="CI383" s="1"/>
      <c r="CJ383" s="1"/>
      <c r="CK383" s="1"/>
      <c r="CL383" s="1">
        <v>-9.344393097596317</v>
      </c>
      <c r="CM383" s="1">
        <v>-2.288385525321874</v>
      </c>
      <c r="CN383" s="1">
        <v>-8.826429940106973</v>
      </c>
      <c r="CO383" s="1">
        <v>-7.540635530387853</v>
      </c>
      <c r="CP383" s="1">
        <v>-4.9859398105527095</v>
      </c>
      <c r="CQ383" s="1">
        <v>-4.515575274445782</v>
      </c>
      <c r="CR383" s="1">
        <v>-10.377107519887026</v>
      </c>
      <c r="CS383" s="1">
        <v>-10.547550509270973</v>
      </c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</row>
    <row r="384" spans="1:12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>
        <v>17</v>
      </c>
      <c r="BZ384" s="1"/>
      <c r="CA384" s="1">
        <v>1</v>
      </c>
      <c r="CB384" s="1">
        <v>0</v>
      </c>
      <c r="CC384" s="1">
        <v>0</v>
      </c>
      <c r="CD384" s="1">
        <v>-2</v>
      </c>
      <c r="CE384" s="1">
        <v>0</v>
      </c>
      <c r="CF384" s="1">
        <v>0</v>
      </c>
      <c r="CG384" s="1">
        <v>0</v>
      </c>
      <c r="CH384" s="1" t="s">
        <v>45</v>
      </c>
      <c r="CI384" s="1"/>
      <c r="CJ384" s="1"/>
      <c r="CK384" s="1"/>
      <c r="CL384" s="1">
        <v>-1.44404493372731</v>
      </c>
      <c r="CM384" s="1">
        <v>-4.957181143446554</v>
      </c>
      <c r="CN384" s="1">
        <v>-1.5752869796380526</v>
      </c>
      <c r="CO384" s="1">
        <v>-3.737049867813306</v>
      </c>
      <c r="CP384" s="1">
        <v>-2.3433859889341715</v>
      </c>
      <c r="CQ384" s="1">
        <v>-3.3989483613729075</v>
      </c>
      <c r="CR384" s="1">
        <v>-0.9485892527032873</v>
      </c>
      <c r="CS384" s="1">
        <v>-1.44047793863289</v>
      </c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</row>
    <row r="385" spans="1:12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>
        <v>18</v>
      </c>
      <c r="BZ385" s="1"/>
      <c r="CA385" s="1">
        <v>1</v>
      </c>
      <c r="CB385" s="1">
        <v>1</v>
      </c>
      <c r="CC385" s="1">
        <v>1</v>
      </c>
      <c r="CD385" s="1">
        <v>2</v>
      </c>
      <c r="CE385" s="1">
        <v>2</v>
      </c>
      <c r="CF385" s="1">
        <v>0</v>
      </c>
      <c r="CG385" s="1">
        <v>0</v>
      </c>
      <c r="CH385" s="1" t="s">
        <v>45</v>
      </c>
      <c r="CI385" s="1"/>
      <c r="CJ385" s="1"/>
      <c r="CK385" s="1"/>
      <c r="CL385" s="1">
        <v>4.3670981086219705</v>
      </c>
      <c r="CM385" s="1">
        <v>8.940973614258994</v>
      </c>
      <c r="CN385" s="1">
        <v>4.626201497380547</v>
      </c>
      <c r="CO385" s="1">
        <v>6.99999077993075</v>
      </c>
      <c r="CP385" s="1">
        <v>5.570243475583615</v>
      </c>
      <c r="CQ385" s="1">
        <v>6.6629559803525655</v>
      </c>
      <c r="CR385" s="1">
        <v>3.729412179234968</v>
      </c>
      <c r="CS385" s="1">
        <v>3.878296152578992</v>
      </c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</row>
    <row r="386" spans="1:12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>
        <v>19</v>
      </c>
      <c r="BZ386" s="1"/>
      <c r="CA386" s="1">
        <v>-2</v>
      </c>
      <c r="CB386" s="1">
        <v>0</v>
      </c>
      <c r="CC386" s="1">
        <v>1</v>
      </c>
      <c r="CD386" s="1">
        <v>-2</v>
      </c>
      <c r="CE386" s="1">
        <v>-2</v>
      </c>
      <c r="CF386" s="1">
        <v>2</v>
      </c>
      <c r="CG386" s="1">
        <v>1</v>
      </c>
      <c r="CH386" s="1" t="s">
        <v>45</v>
      </c>
      <c r="CI386" s="1"/>
      <c r="CJ386" s="1"/>
      <c r="CK386" s="1"/>
      <c r="CL386" s="1">
        <v>6.487951084662086</v>
      </c>
      <c r="CM386" s="1">
        <v>-7.653969282253257</v>
      </c>
      <c r="CN386" s="1">
        <v>5.470937030503249</v>
      </c>
      <c r="CO386" s="1">
        <v>0.6659582390250112</v>
      </c>
      <c r="CP386" s="1">
        <v>-0.24379884933468876</v>
      </c>
      <c r="CQ386" s="1">
        <v>-2.2360405465154294</v>
      </c>
      <c r="CR386" s="1">
        <v>9.054512484985484</v>
      </c>
      <c r="CS386" s="1">
        <v>9.233831651248659</v>
      </c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</row>
    <row r="387" spans="1:12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>
        <v>20</v>
      </c>
      <c r="BZ387" s="1"/>
      <c r="CA387" s="1">
        <v>1</v>
      </c>
      <c r="CB387" s="1">
        <v>2</v>
      </c>
      <c r="CC387" s="1">
        <v>0</v>
      </c>
      <c r="CD387" s="1">
        <v>-1</v>
      </c>
      <c r="CE387" s="1">
        <v>-1</v>
      </c>
      <c r="CF387" s="1">
        <v>0</v>
      </c>
      <c r="CG387" s="1">
        <v>0</v>
      </c>
      <c r="CH387" s="1" t="s">
        <v>45</v>
      </c>
      <c r="CI387" s="1"/>
      <c r="CJ387" s="1"/>
      <c r="CK387" s="1"/>
      <c r="CL387" s="1">
        <v>9.562514167594012</v>
      </c>
      <c r="CM387" s="1">
        <v>6.644081718475079</v>
      </c>
      <c r="CN387" s="1">
        <v>8.97404447720339</v>
      </c>
      <c r="CO387" s="1">
        <v>7.757993563004974</v>
      </c>
      <c r="CP387" s="1">
        <v>8.170001386741435</v>
      </c>
      <c r="CQ387" s="1">
        <v>7.449346173717443</v>
      </c>
      <c r="CR387" s="1">
        <v>9.244759724092393</v>
      </c>
      <c r="CS387" s="1">
        <v>8.930508565276895</v>
      </c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</row>
    <row r="388" spans="1:12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>
        <v>21</v>
      </c>
      <c r="BZ388" s="1"/>
      <c r="CA388" s="1">
        <v>0</v>
      </c>
      <c r="CB388" s="1">
        <v>1</v>
      </c>
      <c r="CC388" s="1">
        <v>0</v>
      </c>
      <c r="CD388" s="1">
        <v>1</v>
      </c>
      <c r="CE388" s="1">
        <v>0</v>
      </c>
      <c r="CF388" s="1">
        <v>0</v>
      </c>
      <c r="CG388" s="1">
        <v>1</v>
      </c>
      <c r="CH388" s="1" t="s">
        <v>45</v>
      </c>
      <c r="CI388" s="1"/>
      <c r="CJ388" s="1"/>
      <c r="CK388" s="1"/>
      <c r="CL388" s="1">
        <v>5.926383445461315</v>
      </c>
      <c r="CM388" s="1">
        <v>7.814423655375387</v>
      </c>
      <c r="CN388" s="1">
        <v>5.858312986459257</v>
      </c>
      <c r="CO388" s="1">
        <v>6.910034337987746</v>
      </c>
      <c r="CP388" s="1">
        <v>6.447971458537813</v>
      </c>
      <c r="CQ388" s="1">
        <v>6.9081750095487475</v>
      </c>
      <c r="CR388" s="1">
        <v>5.431531549997556</v>
      </c>
      <c r="CS388" s="1">
        <v>5.6301442474195476</v>
      </c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</row>
    <row r="389" spans="1:12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>
        <v>22</v>
      </c>
      <c r="BZ389" s="1"/>
      <c r="CA389" s="1">
        <v>0</v>
      </c>
      <c r="CB389" s="1">
        <v>-1</v>
      </c>
      <c r="CC389" s="1">
        <v>0</v>
      </c>
      <c r="CD389" s="1">
        <v>-1</v>
      </c>
      <c r="CE389" s="1">
        <v>0</v>
      </c>
      <c r="CF389" s="1">
        <v>-2</v>
      </c>
      <c r="CG389" s="1">
        <v>0</v>
      </c>
      <c r="CH389" s="1" t="s">
        <v>45</v>
      </c>
      <c r="CI389" s="1"/>
      <c r="CJ389" s="1"/>
      <c r="CK389" s="1"/>
      <c r="CL389" s="1">
        <v>-13.382851463311098</v>
      </c>
      <c r="CM389" s="1">
        <v>-10.273008014508367</v>
      </c>
      <c r="CN389" s="1">
        <v>-13.379748273465484</v>
      </c>
      <c r="CO389" s="1">
        <v>-11.898640792383873</v>
      </c>
      <c r="CP389" s="1">
        <v>-12.950274527068323</v>
      </c>
      <c r="CQ389" s="1">
        <v>-12.592691700307235</v>
      </c>
      <c r="CR389" s="1">
        <v>-14.961435902126421</v>
      </c>
      <c r="CS389" s="1">
        <v>-15.891093618729041</v>
      </c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</row>
    <row r="390" spans="1:12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>
        <v>23</v>
      </c>
      <c r="BZ390" s="1"/>
      <c r="CA390" s="1">
        <v>-2</v>
      </c>
      <c r="CB390" s="1">
        <v>2</v>
      </c>
      <c r="CC390" s="1">
        <v>0</v>
      </c>
      <c r="CD390" s="1">
        <v>1</v>
      </c>
      <c r="CE390" s="1">
        <v>0</v>
      </c>
      <c r="CF390" s="1">
        <v>0</v>
      </c>
      <c r="CG390" s="1">
        <v>-1</v>
      </c>
      <c r="CH390" s="1" t="s">
        <v>45</v>
      </c>
      <c r="CI390" s="1"/>
      <c r="CJ390" s="1"/>
      <c r="CK390" s="1"/>
      <c r="CL390" s="1">
        <v>0.3843215192522109</v>
      </c>
      <c r="CM390" s="1">
        <v>1.5429003623509434</v>
      </c>
      <c r="CN390" s="1">
        <v>-0.007869709835523153</v>
      </c>
      <c r="CO390" s="1">
        <v>0.9705151314769158</v>
      </c>
      <c r="CP390" s="1">
        <v>0.2144051588305329</v>
      </c>
      <c r="CQ390" s="1">
        <v>0.6142853856754411</v>
      </c>
      <c r="CR390" s="1">
        <v>-0.17994215629124688</v>
      </c>
      <c r="CS390" s="1">
        <v>0.10174889470316995</v>
      </c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</row>
    <row r="391" spans="1:12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</row>
    <row r="392" spans="1:12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</row>
    <row r="393" spans="1:12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</row>
    <row r="394" spans="1:12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2" t="s">
        <v>67</v>
      </c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</row>
    <row r="395" spans="1:12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3" t="s">
        <v>68</v>
      </c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</row>
    <row r="396" spans="1:12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3" t="s">
        <v>8</v>
      </c>
      <c r="CL396" s="3">
        <v>0</v>
      </c>
      <c r="CM396" s="3">
        <v>1</v>
      </c>
      <c r="CN396" s="3">
        <v>2</v>
      </c>
      <c r="CO396" s="3">
        <v>3</v>
      </c>
      <c r="CP396" s="3">
        <v>4</v>
      </c>
      <c r="CQ396" s="3">
        <v>5</v>
      </c>
      <c r="CR396" s="3">
        <v>6</v>
      </c>
      <c r="CS396" s="3">
        <v>7</v>
      </c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</row>
    <row r="397" spans="1:12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3">
        <f>TRANSPOSE($BJ$39:$CG$39)</f>
        <v>0</v>
      </c>
      <c r="CI397" s="1"/>
      <c r="CJ397" s="1" cm="1">
        <f t="array" ref="CJ397">_xlfn.SEQUENCE(24,1,0)</f>
        <v>0</v>
      </c>
      <c r="CK397" s="1"/>
      <c r="CL397" s="1">
        <f>SOFTMAX(CL367:CL390)</f>
        <v>0</v>
      </c>
      <c r="CM397" s="1">
        <f>SOFTMAX(CM367:CM390)</f>
        <v>0</v>
      </c>
      <c r="CN397" s="1">
        <f>SOFTMAX(CN367:CN390)</f>
        <v>0</v>
      </c>
      <c r="CO397" s="1">
        <f>SOFTMAX(CO367:CO390)</f>
        <v>0</v>
      </c>
      <c r="CP397" s="1">
        <f>SOFTMAX(CP367:CP390)</f>
        <v>0</v>
      </c>
      <c r="CQ397" s="1">
        <f>SOFTMAX(CQ367:CQ390)</f>
        <v>0</v>
      </c>
      <c r="CR397" s="1">
        <f>SOFTMAX(CR367:CR390)</f>
        <v>0</v>
      </c>
      <c r="CS397" s="1">
        <f>SOFTMAX(CS367:CS390)</f>
        <v>0</v>
      </c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</row>
    <row r="398" spans="1:12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3" t="s">
        <v>9</v>
      </c>
      <c r="CI398" s="1"/>
      <c r="CJ398" s="1">
        <v>1</v>
      </c>
      <c r="CK398" s="1"/>
      <c r="CL398" s="1">
        <v>0.00000014018901365222191</v>
      </c>
      <c r="CM398" s="1">
        <v>0.00000023455158180210466</v>
      </c>
      <c r="CN398" s="1">
        <v>0.0000003280574883907285</v>
      </c>
      <c r="CO398" s="1">
        <v>0.000000006026959188836341</v>
      </c>
      <c r="CP398" s="1">
        <v>0.00004043093843977057</v>
      </c>
      <c r="CQ398" s="1">
        <v>0.000008720629074064398</v>
      </c>
      <c r="CR398" s="1">
        <v>0.0000003994068486844693</v>
      </c>
      <c r="CS398" s="1">
        <v>0.0000005096372109649188</v>
      </c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</row>
    <row r="399" spans="1:12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3" t="s">
        <v>5</v>
      </c>
      <c r="CI399" s="1"/>
      <c r="CJ399" s="1">
        <v>2</v>
      </c>
      <c r="CK399" s="1"/>
      <c r="CL399" s="1">
        <v>0.00001596207042572444</v>
      </c>
      <c r="CM399" s="1">
        <v>0.000012285520599797387</v>
      </c>
      <c r="CN399" s="1">
        <v>0.000014257329515433595</v>
      </c>
      <c r="CO399" s="1">
        <v>0.0000007256985245039038</v>
      </c>
      <c r="CP399" s="1">
        <v>0.0005292176499617722</v>
      </c>
      <c r="CQ399" s="1">
        <v>0.00013450477770152655</v>
      </c>
      <c r="CR399" s="1">
        <v>0.000009834921428773296</v>
      </c>
      <c r="CS399" s="1">
        <v>0.000009267495451366067</v>
      </c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</row>
    <row r="400" spans="1:12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3" t="s">
        <v>10</v>
      </c>
      <c r="CI400" s="1"/>
      <c r="CJ400" s="1">
        <v>3</v>
      </c>
      <c r="CK400" s="1"/>
      <c r="CL400" s="1">
        <v>0.00011794217286919085</v>
      </c>
      <c r="CM400" s="1">
        <v>0.00793156897815169</v>
      </c>
      <c r="CN400" s="1">
        <v>0.0002826043601262837</v>
      </c>
      <c r="CO400" s="1">
        <v>0.00014765883673429248</v>
      </c>
      <c r="CP400" s="1">
        <v>0.02552633931776307</v>
      </c>
      <c r="CQ400" s="1">
        <v>0.026457482339668596</v>
      </c>
      <c r="CR400" s="1">
        <v>0.00014335734503713465</v>
      </c>
      <c r="CS400" s="1">
        <v>0.0002847945079450976</v>
      </c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</row>
    <row r="401" spans="1:12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3" t="s">
        <v>12</v>
      </c>
      <c r="CI401" s="1"/>
      <c r="CJ401" s="1">
        <v>4</v>
      </c>
      <c r="CK401" s="1"/>
      <c r="CL401" s="1">
        <v>0.0000009851973359193593</v>
      </c>
      <c r="CM401" s="1">
        <v>0.005237872400062569</v>
      </c>
      <c r="CN401" s="1">
        <v>0.000002856878078607745</v>
      </c>
      <c r="CO401" s="1">
        <v>0.0000014395239710378816</v>
      </c>
      <c r="CP401" s="1">
        <v>0.00842749020533622</v>
      </c>
      <c r="CQ401" s="1">
        <v>0.007427451208045074</v>
      </c>
      <c r="CR401" s="1">
        <v>0.000000491817424575869</v>
      </c>
      <c r="CS401" s="1">
        <v>0.0000008659444491292712</v>
      </c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</row>
    <row r="402" spans="1:12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3" t="s">
        <v>13</v>
      </c>
      <c r="CI402" s="1"/>
      <c r="CJ402" s="1">
        <v>5</v>
      </c>
      <c r="CK402" s="1"/>
      <c r="CL402" s="1">
        <v>0.00028992117536838106</v>
      </c>
      <c r="CM402" s="1">
        <v>0.0005901468974719283</v>
      </c>
      <c r="CN402" s="1">
        <v>0.00042494724585839593</v>
      </c>
      <c r="CO402" s="1">
        <v>0.0001909052559176708</v>
      </c>
      <c r="CP402" s="1">
        <v>0.0042030078229294615</v>
      </c>
      <c r="CQ402" s="1">
        <v>0.004170856028438835</v>
      </c>
      <c r="CR402" s="1">
        <v>0.0004353011690621099</v>
      </c>
      <c r="CS402" s="1">
        <v>0.0010335514866443777</v>
      </c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</row>
    <row r="403" spans="1:12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3" t="s">
        <v>6</v>
      </c>
      <c r="CI403" s="1"/>
      <c r="CJ403" s="1">
        <v>6</v>
      </c>
      <c r="CK403" s="1"/>
      <c r="CL403" s="1">
        <v>0.0000023647206456309805</v>
      </c>
      <c r="CM403" s="1">
        <v>0.0000004787435799417509</v>
      </c>
      <c r="CN403" s="1">
        <v>0.0000019812307429622596</v>
      </c>
      <c r="CO403" s="1">
        <v>0.00000013763229808530148</v>
      </c>
      <c r="CP403" s="1">
        <v>0.000010453060743311719</v>
      </c>
      <c r="CQ403" s="1">
        <v>0.0000029271068525091203</v>
      </c>
      <c r="CR403" s="1">
        <v>0.0000016732841011362914</v>
      </c>
      <c r="CS403" s="1">
        <v>0.0000009693715940204525</v>
      </c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</row>
    <row r="404" spans="1:12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3" t="s">
        <v>19</v>
      </c>
      <c r="CI404" s="1"/>
      <c r="CJ404" s="1">
        <v>7</v>
      </c>
      <c r="CK404" s="1"/>
      <c r="CL404" s="1">
        <v>0.00000005637197620179313</v>
      </c>
      <c r="CM404" s="1">
        <v>0.000000024190797350579747</v>
      </c>
      <c r="CN404" s="1">
        <v>0.00000007268529887553938</v>
      </c>
      <c r="CO404" s="1">
        <v>0.000000013104031215748742</v>
      </c>
      <c r="CP404" s="1">
        <v>0.0000003291885555147583</v>
      </c>
      <c r="CQ404" s="1">
        <v>0.00000020145677472166892</v>
      </c>
      <c r="CR404" s="1">
        <v>0.0000001123491107305411</v>
      </c>
      <c r="CS404" s="1">
        <v>0.00000016864401757038616</v>
      </c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</row>
    <row r="405" spans="1:12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3" t="s">
        <v>4</v>
      </c>
      <c r="CI405" s="1"/>
      <c r="CJ405" s="1">
        <v>8</v>
      </c>
      <c r="CK405" s="1"/>
      <c r="CL405" s="1">
        <v>0.00000044323458201791885</v>
      </c>
      <c r="CM405" s="1">
        <v>0.00000012145993566074484</v>
      </c>
      <c r="CN405" s="1">
        <v>0.000000558304034871604</v>
      </c>
      <c r="CO405" s="1">
        <v>0.0000001423148476603674</v>
      </c>
      <c r="CP405" s="1">
        <v>0.0000007621980296474583</v>
      </c>
      <c r="CQ405" s="1">
        <v>0.00000043523065073827237</v>
      </c>
      <c r="CR405" s="1">
        <v>0.00000041429778242731907</v>
      </c>
      <c r="CS405" s="1">
        <v>0.0000002435345152259741</v>
      </c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</row>
    <row r="406" spans="1:12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3" t="s">
        <v>20</v>
      </c>
      <c r="CI406" s="1"/>
      <c r="CJ406" s="1">
        <v>9</v>
      </c>
      <c r="CK406" s="1"/>
      <c r="CL406" s="1">
        <v>0.0000030637488420044036</v>
      </c>
      <c r="CM406" s="1">
        <v>0.0008790724822821467</v>
      </c>
      <c r="CN406" s="1">
        <v>0.000008159347080358358</v>
      </c>
      <c r="CO406" s="1">
        <v>0.000004563304982487207</v>
      </c>
      <c r="CP406" s="1">
        <v>0.002023460714586149</v>
      </c>
      <c r="CQ406" s="1">
        <v>0.0018953743095491598</v>
      </c>
      <c r="CR406" s="1">
        <v>0.000001950673015878605</v>
      </c>
      <c r="CS406" s="1">
        <v>0.0000027390723384756856</v>
      </c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</row>
    <row r="407" spans="1:12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3" t="s">
        <v>21</v>
      </c>
      <c r="CI407" s="1"/>
      <c r="CJ407" s="1">
        <v>10</v>
      </c>
      <c r="CK407" s="1"/>
      <c r="CL407" s="1">
        <v>0.5591834598119043</v>
      </c>
      <c r="CM407" s="1">
        <v>0.5687916518935905</v>
      </c>
      <c r="CN407" s="1">
        <v>0.472557229822329</v>
      </c>
      <c r="CO407" s="1">
        <v>0.8948956309287913</v>
      </c>
      <c r="CP407" s="1">
        <v>0.45693541762104695</v>
      </c>
      <c r="CQ407" s="1">
        <v>0.6216681437539671</v>
      </c>
      <c r="CR407" s="1">
        <v>0.19388942050228364</v>
      </c>
      <c r="CS407" s="1">
        <v>0.17329332393700272</v>
      </c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</row>
    <row r="408" spans="1:12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3" t="s">
        <v>23</v>
      </c>
      <c r="CI408" s="1"/>
      <c r="CJ408" s="1">
        <v>11</v>
      </c>
      <c r="CK408" s="1"/>
      <c r="CL408" s="1">
        <v>0.00000019275060074367146</v>
      </c>
      <c r="CM408" s="1">
        <v>0.000000012173437148040408</v>
      </c>
      <c r="CN408" s="1">
        <v>0.00000029232717373069317</v>
      </c>
      <c r="CO408" s="1">
        <v>0.000000006609949902696635</v>
      </c>
      <c r="CP408" s="1">
        <v>0.000001581416454204977</v>
      </c>
      <c r="CQ408" s="1">
        <v>0.00000035628318330315263</v>
      </c>
      <c r="CR408" s="1">
        <v>0.0000006533960498126621</v>
      </c>
      <c r="CS408" s="1">
        <v>0.0000005690881241211131</v>
      </c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</row>
    <row r="409" spans="1:12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3" t="s">
        <v>25</v>
      </c>
      <c r="CI409" s="1"/>
      <c r="CJ409" s="1">
        <v>12</v>
      </c>
      <c r="CK409" s="1"/>
      <c r="CL409" s="1">
        <v>0.000013907176754793748</v>
      </c>
      <c r="CM409" s="1">
        <v>0.0029938110050378225</v>
      </c>
      <c r="CN409" s="1">
        <v>0.000030258506990168445</v>
      </c>
      <c r="CO409" s="1">
        <v>0.0000765582721055073</v>
      </c>
      <c r="CP409" s="1">
        <v>0.0006466528673387242</v>
      </c>
      <c r="CQ409" s="1">
        <v>0.0011114833244963778</v>
      </c>
      <c r="CR409" s="1">
        <v>0.000006884255643410077</v>
      </c>
      <c r="CS409" s="1">
        <v>0.000005833824483736661</v>
      </c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</row>
    <row r="410" spans="1:12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3" t="s">
        <v>27</v>
      </c>
      <c r="CI410" s="1"/>
      <c r="CJ410" s="1">
        <v>13</v>
      </c>
      <c r="CK410" s="1"/>
      <c r="CL410" s="1">
        <v>0.000004494762495045216</v>
      </c>
      <c r="CM410" s="1">
        <v>0.000000002877865381186329</v>
      </c>
      <c r="CN410" s="1">
        <v>0.000005282547843912281</v>
      </c>
      <c r="CO410" s="1">
        <v>0.0000000364195043684426</v>
      </c>
      <c r="CP410" s="1">
        <v>0.0000028189301841726364</v>
      </c>
      <c r="CQ410" s="1">
        <v>0.00000041805387495316447</v>
      </c>
      <c r="CR410" s="1">
        <v>0.00004287913027736007</v>
      </c>
      <c r="CS410" s="1">
        <v>0.00004333157008844233</v>
      </c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</row>
    <row r="411" spans="1:12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3" t="s">
        <v>28</v>
      </c>
      <c r="CI411" s="1"/>
      <c r="CJ411" s="1">
        <v>14</v>
      </c>
      <c r="CK411" s="1"/>
      <c r="CL411" s="1">
        <v>0.00000000297694668375709</v>
      </c>
      <c r="CM411" s="1">
        <v>0.00009857796051464123</v>
      </c>
      <c r="CN411" s="1">
        <v>0.000000007656104758363691</v>
      </c>
      <c r="CO411" s="1">
        <v>0.000000005690640935725497</v>
      </c>
      <c r="CP411" s="1">
        <v>0.00003650696750530869</v>
      </c>
      <c r="CQ411" s="1">
        <v>0.000025292531820131805</v>
      </c>
      <c r="CR411" s="1">
        <v>0.000000000285674624181268</v>
      </c>
      <c r="CS411" s="1">
        <v>0.00000000014053674451383733</v>
      </c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</row>
    <row r="412" spans="1:12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3" t="s">
        <v>30</v>
      </c>
      <c r="CI412" s="1"/>
      <c r="CJ412" s="1">
        <v>15</v>
      </c>
      <c r="CK412" s="1"/>
      <c r="CL412" s="1">
        <v>0.43346928488502084</v>
      </c>
      <c r="CM412" s="1">
        <v>0.008060402298411604</v>
      </c>
      <c r="CN412" s="1">
        <v>0.5190526572530055</v>
      </c>
      <c r="CO412" s="1">
        <v>0.10231780957749144</v>
      </c>
      <c r="CP412" s="1">
        <v>0.1919721928658754</v>
      </c>
      <c r="CQ412" s="1">
        <v>0.1166692721206023</v>
      </c>
      <c r="CR412" s="1">
        <v>0.800069084467547</v>
      </c>
      <c r="CS412" s="1">
        <v>0.8192515761303945</v>
      </c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</row>
    <row r="413" spans="1:12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3" t="s">
        <v>31</v>
      </c>
      <c r="CI413" s="1"/>
      <c r="CJ413" s="1">
        <v>16</v>
      </c>
      <c r="CK413" s="1"/>
      <c r="CL413" s="1">
        <v>0.00000000003821399025521299</v>
      </c>
      <c r="CM413" s="1">
        <v>0.0000037356582671270846</v>
      </c>
      <c r="CN413" s="1">
        <v>0.0000000001242947880863168</v>
      </c>
      <c r="CO413" s="1">
        <v>0.0000000002754301770716018</v>
      </c>
      <c r="CP413" s="1">
        <v>0.0000004201157186441245</v>
      </c>
      <c r="CQ413" s="1">
        <v>0.0000006215320573915686</v>
      </c>
      <c r="CR413" s="1">
        <v>0.000000000008358427298448347</v>
      </c>
      <c r="CS413" s="1">
        <v>0.000000000008215592809153891</v>
      </c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</row>
    <row r="414" spans="1:12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3" t="s">
        <v>33</v>
      </c>
      <c r="CI414" s="1"/>
      <c r="CJ414" s="1">
        <v>17</v>
      </c>
      <c r="CK414" s="1"/>
      <c r="CL414" s="1">
        <v>0.00000010310981347094005</v>
      </c>
      <c r="CM414" s="1">
        <v>0.0000002590144124782087</v>
      </c>
      <c r="CN414" s="1">
        <v>0.0000001752202491223681</v>
      </c>
      <c r="CO414" s="1">
        <v>0.000000012356281278287771</v>
      </c>
      <c r="CP414" s="1">
        <v>0.000005902221093211502</v>
      </c>
      <c r="CQ414" s="1">
        <v>0.0000018984905525176796</v>
      </c>
      <c r="CR414" s="1">
        <v>0.00000010396281378123805</v>
      </c>
      <c r="CS414" s="1">
        <v>0.00000007409523330295801</v>
      </c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</row>
    <row r="415" spans="1:12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3" t="s">
        <v>7</v>
      </c>
      <c r="CI415" s="1"/>
      <c r="CJ415" s="1">
        <v>18</v>
      </c>
      <c r="CK415" s="1"/>
      <c r="CL415" s="1">
        <v>0.00003443874827704806</v>
      </c>
      <c r="CM415" s="1">
        <v>0.281329873123063</v>
      </c>
      <c r="CN415" s="1">
        <v>0.00008646821995298551</v>
      </c>
      <c r="CO415" s="1">
        <v>0.0005687550833988361</v>
      </c>
      <c r="CP415" s="1">
        <v>0.016138422541227243</v>
      </c>
      <c r="CQ415" s="1">
        <v>0.04448749716599504</v>
      </c>
      <c r="CR415" s="1">
        <v>0.000011181710230694999</v>
      </c>
      <c r="CS415" s="1">
        <v>0.000015125317789426522</v>
      </c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</row>
    <row r="416" spans="1:12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3" t="s">
        <v>35</v>
      </c>
      <c r="CI416" s="1"/>
      <c r="CJ416" s="1">
        <v>19</v>
      </c>
      <c r="CK416" s="1"/>
      <c r="CL416" s="1">
        <v>0.00028715878192655424</v>
      </c>
      <c r="CM416" s="1">
        <v>0.000000017463195779155765</v>
      </c>
      <c r="CN416" s="1">
        <v>0.00020124286860453297</v>
      </c>
      <c r="CO416" s="1">
        <v>0.0000010094618500934412</v>
      </c>
      <c r="CP416" s="1">
        <v>0.000048178645147294465</v>
      </c>
      <c r="CQ416" s="1">
        <v>0.000006073693711837828</v>
      </c>
      <c r="CR416" s="1">
        <v>0.0022970471611636328</v>
      </c>
      <c r="CS416" s="1">
        <v>0.0032031997569287665</v>
      </c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</row>
    <row r="417" spans="1:12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3" t="s">
        <v>37</v>
      </c>
      <c r="CI417" s="1"/>
      <c r="CJ417" s="1">
        <v>20</v>
      </c>
      <c r="CK417" s="1"/>
      <c r="CL417" s="1">
        <v>0.006214238018683489</v>
      </c>
      <c r="CM417" s="1">
        <v>0.028293610753799582</v>
      </c>
      <c r="CN417" s="1">
        <v>0.006684989553555818</v>
      </c>
      <c r="CO417" s="1">
        <v>0.0012137289677614945</v>
      </c>
      <c r="CP417" s="1">
        <v>0.2172308978505633</v>
      </c>
      <c r="CQ417" s="1">
        <v>0.09767038394527539</v>
      </c>
      <c r="CR417" s="1">
        <v>0.0027783901972372902</v>
      </c>
      <c r="CS417" s="1">
        <v>0.0023651161866461556</v>
      </c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</row>
    <row r="418" spans="1:12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3" t="s">
        <v>3</v>
      </c>
      <c r="CI418" s="1"/>
      <c r="CJ418" s="1">
        <v>21</v>
      </c>
      <c r="CK418" s="1"/>
      <c r="CL418" s="1">
        <v>0.0001637707641924244</v>
      </c>
      <c r="CM418" s="1">
        <v>0.09119298248131993</v>
      </c>
      <c r="CN418" s="1">
        <v>0.00029645292478064903</v>
      </c>
      <c r="CO418" s="1">
        <v>0.0005198256496018813</v>
      </c>
      <c r="CP418" s="1">
        <v>0.03881981860602432</v>
      </c>
      <c r="CQ418" s="1">
        <v>0.056850625133572315</v>
      </c>
      <c r="CR418" s="1">
        <v>0.0000613379537586249</v>
      </c>
      <c r="CS418" s="1">
        <v>0.00008720120149286494</v>
      </c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</row>
    <row r="419" spans="1:12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3" t="s">
        <v>40</v>
      </c>
      <c r="CI419" s="1"/>
      <c r="CJ419" s="1">
        <v>22</v>
      </c>
      <c r="CK419" s="1"/>
      <c r="CL419" s="1">
        <v>0.00000000000067350714117756</v>
      </c>
      <c r="CM419" s="1">
        <v>0.0000000012725933620173141</v>
      </c>
      <c r="CN419" s="1">
        <v>0.0000000000013090971932363422</v>
      </c>
      <c r="CO419" s="1">
        <v>0.0000000000035265811670445513</v>
      </c>
      <c r="CP419" s="1">
        <v>0.00000000014605025230781628</v>
      </c>
      <c r="CQ419" s="1">
        <v>0.0000000001930262796103278</v>
      </c>
      <c r="CR419" s="1">
        <v>0.00000000000008534460047800524</v>
      </c>
      <c r="CS419" s="1">
        <v>0.00000000000003926156616593027</v>
      </c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</row>
    <row r="420" spans="1:12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3" t="s">
        <v>42</v>
      </c>
      <c r="CI420" s="1"/>
      <c r="CJ420" s="1">
        <v>23</v>
      </c>
      <c r="CK420" s="1"/>
      <c r="CL420" s="1">
        <v>0.0000006417257447000012</v>
      </c>
      <c r="CM420" s="1">
        <v>0.00017229531179229415</v>
      </c>
      <c r="CN420" s="1">
        <v>0.0000008400496681243242</v>
      </c>
      <c r="CO420" s="1">
        <v>0.000001368854501252694</v>
      </c>
      <c r="CP420" s="1">
        <v>0.00007618159395065902</v>
      </c>
      <c r="CQ420" s="1">
        <v>0.00010503492054003149</v>
      </c>
      <c r="CR420" s="1">
        <v>0.00000022423180753258928</v>
      </c>
      <c r="CS420" s="1">
        <v>0.00000034639440879766307</v>
      </c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</row>
    <row r="421" spans="1:12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</row>
    <row r="422" spans="1:12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</row>
    <row r="423" spans="1:1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0"/>
      <c r="CG423" s="1"/>
      <c r="CH423" s="1"/>
      <c r="CI423" s="1"/>
      <c r="CJ423" s="1"/>
      <c r="CK423" s="1"/>
      <c r="CL423" s="3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</row>
    <row r="424" spans="1:12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2" t="s">
        <v>69</v>
      </c>
      <c r="CG424" s="1"/>
      <c r="CH424" s="1"/>
      <c r="CI424" s="1"/>
      <c r="CJ424" s="3"/>
      <c r="CK424" s="1"/>
      <c r="CL424" s="3">
        <f>COUNTA(CL9:CS9)-1</f>
        <v>0</v>
      </c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</row>
    <row r="425" spans="1:12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</row>
    <row r="426" spans="1:12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2" t="s">
        <v>70</v>
      </c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</row>
    <row r="427" spans="1:12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</row>
    <row r="428" spans="1:12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3"/>
      <c r="CG428" s="1"/>
      <c r="CH428" s="1"/>
      <c r="CI428" s="1"/>
      <c r="CJ428" s="1"/>
      <c r="CK428" s="3" t="s">
        <v>8</v>
      </c>
      <c r="CL428" s="3">
        <v>0</v>
      </c>
      <c r="CM428" s="3">
        <v>1</v>
      </c>
      <c r="CN428" s="3">
        <v>2</v>
      </c>
      <c r="CO428" s="3">
        <v>3</v>
      </c>
      <c r="CP428" s="3">
        <v>4</v>
      </c>
      <c r="CQ428" s="3">
        <v>5</v>
      </c>
      <c r="CR428" s="3">
        <v>6</v>
      </c>
      <c r="CS428" s="3">
        <v>7</v>
      </c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</row>
    <row r="429" spans="1:12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3">
        <f>TRANSPOSE($BJ$39:$CG$39)</f>
        <v>0</v>
      </c>
      <c r="CI429" s="1"/>
      <c r="CJ429" s="9" cm="1">
        <f t="array" ref="CJ429">_xlfn.SEQUENCE(24,1,0)</f>
        <v>0</v>
      </c>
      <c r="CK429" s="1"/>
      <c r="CL429" s="1" cm="1">
        <f t="array" ref="CL429">_xlfn.MAKEARRAY(24,8,_xlfn.LAMBDA(_xlpm.i,_xlpm.j,IF(_xlpm.j=CL424+1, INDEX(CL397:CS420,_xlpm.i,_xlpm.j),"")))</f>
        <v>0</v>
      </c>
      <c r="CM429" s="1"/>
      <c r="CN429" s="1"/>
      <c r="CO429" s="1"/>
      <c r="CP429" s="1"/>
      <c r="CQ429" s="1">
        <v>0.021304945770569864</v>
      </c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</row>
    <row r="430" spans="1:12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3" t="s">
        <v>9</v>
      </c>
      <c r="CI430" s="1"/>
      <c r="CJ430" s="3">
        <v>1</v>
      </c>
      <c r="CK430" s="1"/>
      <c r="CL430" s="1"/>
      <c r="CM430" s="1"/>
      <c r="CN430" s="1"/>
      <c r="CO430" s="1"/>
      <c r="CP430" s="1"/>
      <c r="CQ430" s="1">
        <v>0.000008720629074064398</v>
      </c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</row>
    <row r="431" spans="1:12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3" t="s">
        <v>5</v>
      </c>
      <c r="CI431" s="1"/>
      <c r="CJ431" s="3">
        <v>2</v>
      </c>
      <c r="CK431" s="1"/>
      <c r="CL431" s="1"/>
      <c r="CM431" s="1"/>
      <c r="CN431" s="1"/>
      <c r="CO431" s="1"/>
      <c r="CP431" s="1"/>
      <c r="CQ431" s="1">
        <v>0.00013450477770152655</v>
      </c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</row>
    <row r="432" spans="1:12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3" t="s">
        <v>10</v>
      </c>
      <c r="CI432" s="1"/>
      <c r="CJ432" s="3">
        <v>3</v>
      </c>
      <c r="CK432" s="1"/>
      <c r="CL432" s="1"/>
      <c r="CM432" s="1"/>
      <c r="CN432" s="1"/>
      <c r="CO432" s="1"/>
      <c r="CP432" s="1"/>
      <c r="CQ432" s="1">
        <v>0.026457482339668596</v>
      </c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</row>
    <row r="433" spans="1:12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3" t="s">
        <v>12</v>
      </c>
      <c r="CI433" s="1"/>
      <c r="CJ433" s="3">
        <v>4</v>
      </c>
      <c r="CK433" s="1"/>
      <c r="CL433" s="1"/>
      <c r="CM433" s="1"/>
      <c r="CN433" s="1"/>
      <c r="CO433" s="1"/>
      <c r="CP433" s="1"/>
      <c r="CQ433" s="1">
        <v>0.007427451208045074</v>
      </c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</row>
    <row r="434" spans="1:12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3" t="s">
        <v>13</v>
      </c>
      <c r="CI434" s="1"/>
      <c r="CJ434" s="3">
        <v>5</v>
      </c>
      <c r="CK434" s="1"/>
      <c r="CL434" s="1"/>
      <c r="CM434" s="1"/>
      <c r="CN434" s="1"/>
      <c r="CO434" s="1"/>
      <c r="CP434" s="1"/>
      <c r="CQ434" s="1">
        <v>0.004170856028438835</v>
      </c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</row>
    <row r="435" spans="1:12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3" t="s">
        <v>6</v>
      </c>
      <c r="CI435" s="1"/>
      <c r="CJ435" s="3">
        <v>6</v>
      </c>
      <c r="CK435" s="1"/>
      <c r="CL435" s="1"/>
      <c r="CM435" s="1"/>
      <c r="CN435" s="1"/>
      <c r="CO435" s="1"/>
      <c r="CP435" s="1"/>
      <c r="CQ435" s="1">
        <v>0.0000029271068525091203</v>
      </c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</row>
    <row r="436" spans="1:12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3" t="s">
        <v>19</v>
      </c>
      <c r="CI436" s="1"/>
      <c r="CJ436" s="3">
        <v>7</v>
      </c>
      <c r="CK436" s="1"/>
      <c r="CL436" s="1"/>
      <c r="CM436" s="1"/>
      <c r="CN436" s="1"/>
      <c r="CO436" s="1"/>
      <c r="CP436" s="1"/>
      <c r="CQ436" s="1">
        <v>0.00000020145677472166892</v>
      </c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</row>
    <row r="437" spans="1:12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3" t="s">
        <v>4</v>
      </c>
      <c r="CI437" s="1"/>
      <c r="CJ437" s="3">
        <v>8</v>
      </c>
      <c r="CK437" s="1"/>
      <c r="CL437" s="1"/>
      <c r="CM437" s="1"/>
      <c r="CN437" s="1"/>
      <c r="CO437" s="1"/>
      <c r="CP437" s="1"/>
      <c r="CQ437" s="1">
        <v>0.00000043523065073827237</v>
      </c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</row>
    <row r="438" spans="1:12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3" t="s">
        <v>20</v>
      </c>
      <c r="CI438" s="1"/>
      <c r="CJ438" s="3">
        <v>9</v>
      </c>
      <c r="CK438" s="1"/>
      <c r="CL438" s="1"/>
      <c r="CM438" s="1"/>
      <c r="CN438" s="1"/>
      <c r="CO438" s="1"/>
      <c r="CP438" s="1"/>
      <c r="CQ438" s="1">
        <v>0.0018953743095491598</v>
      </c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</row>
    <row r="439" spans="1:12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3" t="s">
        <v>21</v>
      </c>
      <c r="CI439" s="1"/>
      <c r="CJ439" s="3">
        <v>10</v>
      </c>
      <c r="CK439" s="1"/>
      <c r="CL439" s="1"/>
      <c r="CM439" s="1"/>
      <c r="CN439" s="1"/>
      <c r="CO439" s="1"/>
      <c r="CP439" s="1"/>
      <c r="CQ439" s="1">
        <v>0.6216681437539671</v>
      </c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</row>
    <row r="440" spans="1:12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3" t="s">
        <v>23</v>
      </c>
      <c r="CI440" s="1"/>
      <c r="CJ440" s="3">
        <v>11</v>
      </c>
      <c r="CK440" s="1"/>
      <c r="CL440" s="1"/>
      <c r="CM440" s="1"/>
      <c r="CN440" s="1"/>
      <c r="CO440" s="1"/>
      <c r="CP440" s="1"/>
      <c r="CQ440" s="1">
        <v>0.00000035628318330315263</v>
      </c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</row>
    <row r="441" spans="1:12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3" t="s">
        <v>25</v>
      </c>
      <c r="CI441" s="1"/>
      <c r="CJ441" s="3">
        <v>12</v>
      </c>
      <c r="CK441" s="1"/>
      <c r="CL441" s="1"/>
      <c r="CM441" s="1"/>
      <c r="CN441" s="1"/>
      <c r="CO441" s="1"/>
      <c r="CP441" s="1"/>
      <c r="CQ441" s="1">
        <v>0.0011114833244963778</v>
      </c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</row>
    <row r="442" spans="1:12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3" t="s">
        <v>27</v>
      </c>
      <c r="CI442" s="1"/>
      <c r="CJ442" s="3">
        <v>13</v>
      </c>
      <c r="CK442" s="1"/>
      <c r="CL442" s="1"/>
      <c r="CM442" s="1"/>
      <c r="CN442" s="1"/>
      <c r="CO442" s="1"/>
      <c r="CP442" s="1"/>
      <c r="CQ442" s="1">
        <v>0.00000041805387495316447</v>
      </c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</row>
    <row r="443" spans="1:12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3" t="s">
        <v>28</v>
      </c>
      <c r="CI443" s="1"/>
      <c r="CJ443" s="3">
        <v>14</v>
      </c>
      <c r="CK443" s="1"/>
      <c r="CL443" s="1"/>
      <c r="CM443" s="1"/>
      <c r="CN443" s="1"/>
      <c r="CO443" s="1"/>
      <c r="CP443" s="1"/>
      <c r="CQ443" s="1">
        <v>0.000025292531820131805</v>
      </c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</row>
    <row r="444" spans="1:12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3" t="s">
        <v>30</v>
      </c>
      <c r="CI444" s="1"/>
      <c r="CJ444" s="3">
        <v>15</v>
      </c>
      <c r="CK444" s="1"/>
      <c r="CL444" s="1"/>
      <c r="CM444" s="1"/>
      <c r="CN444" s="1"/>
      <c r="CO444" s="1"/>
      <c r="CP444" s="1"/>
      <c r="CQ444" s="1">
        <v>0.1166692721206023</v>
      </c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</row>
    <row r="445" spans="1:12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3" t="s">
        <v>31</v>
      </c>
      <c r="CI445" s="1"/>
      <c r="CJ445" s="3">
        <v>16</v>
      </c>
      <c r="CK445" s="1"/>
      <c r="CL445" s="1"/>
      <c r="CM445" s="1"/>
      <c r="CN445" s="1"/>
      <c r="CO445" s="1"/>
      <c r="CP445" s="1"/>
      <c r="CQ445" s="1">
        <v>0.0000006215320573915686</v>
      </c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</row>
    <row r="446" spans="1:12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3" t="s">
        <v>33</v>
      </c>
      <c r="CI446" s="1"/>
      <c r="CJ446" s="3">
        <v>17</v>
      </c>
      <c r="CK446" s="1"/>
      <c r="CL446" s="1"/>
      <c r="CM446" s="1"/>
      <c r="CN446" s="1"/>
      <c r="CO446" s="1"/>
      <c r="CP446" s="1"/>
      <c r="CQ446" s="1">
        <v>0.0000018984905525176796</v>
      </c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</row>
    <row r="447" spans="1:12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3" t="s">
        <v>7</v>
      </c>
      <c r="CI447" s="1"/>
      <c r="CJ447" s="3">
        <v>18</v>
      </c>
      <c r="CK447" s="1"/>
      <c r="CL447" s="1"/>
      <c r="CM447" s="1"/>
      <c r="CN447" s="1"/>
      <c r="CO447" s="1"/>
      <c r="CP447" s="1"/>
      <c r="CQ447" s="1">
        <v>0.04448749716599504</v>
      </c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</row>
    <row r="448" spans="1:12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3" t="s">
        <v>35</v>
      </c>
      <c r="CI448" s="1"/>
      <c r="CJ448" s="3">
        <v>19</v>
      </c>
      <c r="CK448" s="1"/>
      <c r="CL448" s="1"/>
      <c r="CM448" s="1"/>
      <c r="CN448" s="1"/>
      <c r="CO448" s="1"/>
      <c r="CP448" s="1"/>
      <c r="CQ448" s="1">
        <v>0.000006073693711837828</v>
      </c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</row>
    <row r="449" spans="1:12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3" t="s">
        <v>37</v>
      </c>
      <c r="CI449" s="1"/>
      <c r="CJ449" s="3">
        <v>20</v>
      </c>
      <c r="CK449" s="1"/>
      <c r="CL449" s="1"/>
      <c r="CM449" s="1"/>
      <c r="CN449" s="1"/>
      <c r="CO449" s="1"/>
      <c r="CP449" s="1"/>
      <c r="CQ449" s="1">
        <v>0.09767038394527539</v>
      </c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</row>
    <row r="450" spans="1:12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3" t="s">
        <v>3</v>
      </c>
      <c r="CI450" s="1"/>
      <c r="CJ450" s="3">
        <v>21</v>
      </c>
      <c r="CK450" s="1"/>
      <c r="CL450" s="1"/>
      <c r="CM450" s="1"/>
      <c r="CN450" s="1"/>
      <c r="CO450" s="1"/>
      <c r="CP450" s="1"/>
      <c r="CQ450" s="1">
        <v>0.056850625133572315</v>
      </c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</row>
    <row r="451" spans="1:12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3" t="s">
        <v>40</v>
      </c>
      <c r="CI451" s="1"/>
      <c r="CJ451" s="3">
        <v>22</v>
      </c>
      <c r="CK451" s="1"/>
      <c r="CL451" s="1"/>
      <c r="CM451" s="1"/>
      <c r="CN451" s="1"/>
      <c r="CO451" s="1"/>
      <c r="CP451" s="1"/>
      <c r="CQ451" s="1">
        <v>0.0000000001930262796103278</v>
      </c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</row>
    <row r="452" spans="1:12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3" t="s">
        <v>42</v>
      </c>
      <c r="CI452" s="1"/>
      <c r="CJ452" s="3">
        <v>23</v>
      </c>
      <c r="CK452" s="1"/>
      <c r="CL452" s="1"/>
      <c r="CM452" s="1"/>
      <c r="CN452" s="1"/>
      <c r="CO452" s="1"/>
      <c r="CP452" s="1"/>
      <c r="CQ452" s="1">
        <v>0.00010503492054003149</v>
      </c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</row>
    <row r="453" spans="1:12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FormatPr defaultRowHeight="15"/>
  <cols>
    <col min="1" max="1" width="116.7109375" customWidth="1"/>
  </cols>
  <sheetData>
    <row r="1" spans="1:1">
      <c r="A1" s="11" t="s">
        <v>71</v>
      </c>
    </row>
    <row r="2" spans="1:1">
      <c r="A2" s="12"/>
    </row>
    <row r="3" spans="1:1">
      <c r="A3" s="12" t="s">
        <v>72</v>
      </c>
    </row>
    <row r="4" spans="1:1">
      <c r="A4" s="12"/>
    </row>
    <row r="5" spans="1:1">
      <c r="A5" s="12" t="s">
        <v>73</v>
      </c>
    </row>
    <row r="6" spans="1:1">
      <c r="A6" s="12" t="s">
        <v>74</v>
      </c>
    </row>
    <row r="7" spans="1:1">
      <c r="A7" s="12" t="s">
        <v>75</v>
      </c>
    </row>
    <row r="8" spans="1:1">
      <c r="A8" s="12"/>
    </row>
    <row r="9" spans="1:1">
      <c r="A9" s="12" t="s">
        <v>76</v>
      </c>
    </row>
    <row r="10" spans="1:1">
      <c r="A10" s="12" t="s">
        <v>77</v>
      </c>
    </row>
    <row r="11" spans="1:1">
      <c r="A11" s="12" t="s">
        <v>78</v>
      </c>
    </row>
    <row r="12" spans="1:1">
      <c r="A12" s="12" t="s">
        <v>79</v>
      </c>
    </row>
    <row r="13" spans="1:1">
      <c r="A13" s="12" t="s">
        <v>80</v>
      </c>
    </row>
    <row r="14" spans="1:1">
      <c r="A14" s="12" t="s">
        <v>81</v>
      </c>
    </row>
    <row r="15" spans="1:1">
      <c r="A15" s="12"/>
    </row>
    <row r="16" spans="1:1">
      <c r="A16" s="12" t="s">
        <v>82</v>
      </c>
    </row>
    <row r="17" spans="1:1">
      <c r="A17" s="12" t="s">
        <v>83</v>
      </c>
    </row>
    <row r="18" spans="1:1">
      <c r="A18" s="12"/>
    </row>
    <row r="19" spans="1:1">
      <c r="A19" s="12" t="s">
        <v>84</v>
      </c>
    </row>
    <row r="20" spans="1:1">
      <c r="A20" s="12" t="s">
        <v>85</v>
      </c>
    </row>
    <row r="21" spans="1:1">
      <c r="A21" s="12" t="s">
        <v>86</v>
      </c>
    </row>
    <row r="22" spans="1:1">
      <c r="A22" s="12" t="s">
        <v>87</v>
      </c>
    </row>
    <row r="23" spans="1:1">
      <c r="A23" s="12" t="s">
        <v>88</v>
      </c>
    </row>
    <row r="24" spans="1:1">
      <c r="A24" s="12" t="s">
        <v>89</v>
      </c>
    </row>
    <row r="25" spans="1:1">
      <c r="A25" s="1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Transformer </vt:lpstr>
      <vt:lpstr>LICENSE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2026-10-10T20:02:11Z</dcterms:created>
  <dcterms:modified xsi:type="dcterms:W3CDTF">2026-10-10T20:02:11Z</dcterms:modified>
</cp:coreProperties>
</file>