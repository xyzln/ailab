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medium" sheetId="2" r:id="rId2"/>
    <sheet name="LICENSE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<sst xmlns="http://schemas.openxmlformats.org/spreadsheetml/2006/main" count="131" uniqueCount="72">
  <si>
    <t>Temperature</t>
  </si>
  <si>
    <t>Softmax</t>
  </si>
  <si>
    <t>Random Number</t>
  </si>
  <si>
    <t>T</t>
  </si>
  <si>
    <t>r</t>
  </si>
  <si>
    <t>Input</t>
  </si>
  <si>
    <t>Sort by Prob</t>
  </si>
  <si>
    <t>Sampled</t>
  </si>
  <si>
    <t>Vocab</t>
  </si>
  <si>
    <t>Logit</t>
  </si>
  <si>
    <t>Prob.</t>
  </si>
  <si>
    <t>Cum. Probability</t>
  </si>
  <si>
    <t>Word</t>
  </si>
  <si>
    <t>Range</t>
  </si>
  <si>
    <t>V</t>
  </si>
  <si>
    <t>Z</t>
  </si>
  <si>
    <t>/ T</t>
  </si>
  <si>
    <t>e^</t>
  </si>
  <si>
    <t>/ Σ</t>
  </si>
  <si>
    <t>Y</t>
  </si>
  <si>
    <t>left</t>
  </si>
  <si>
    <t>≤ r &lt;</t>
  </si>
  <si>
    <t>right</t>
  </si>
  <si>
    <t>who</t>
  </si>
  <si>
    <t>where</t>
  </si>
  <si>
    <t>what</t>
  </si>
  <si>
    <t>why</t>
  </si>
  <si>
    <t>how</t>
  </si>
  <si>
    <t>a</t>
  </si>
  <si>
    <t>an</t>
  </si>
  <si>
    <t>brings</t>
  </si>
  <si>
    <t>and</t>
  </si>
  <si>
    <t>apples</t>
  </si>
  <si>
    <t>light</t>
  </si>
  <si>
    <t>by</t>
  </si>
  <si>
    <t>the</t>
  </si>
  <si>
    <t>cat</t>
  </si>
  <si>
    <t>eat</t>
  </si>
  <si>
    <t>day</t>
  </si>
  <si>
    <t>play</t>
  </si>
  <si>
    <t>dog</t>
  </si>
  <si>
    <t>to</t>
  </si>
  <si>
    <t>fill</t>
  </si>
  <si>
    <t>friend</t>
  </si>
  <si>
    <t>happy</t>
  </si>
  <si>
    <t>house</t>
  </si>
  <si>
    <t>laughter</t>
  </si>
  <si>
    <t>music</t>
  </si>
  <si>
    <t>night</t>
  </si>
  <si>
    <t>quiet</t>
  </si>
  <si>
    <t>smile</t>
  </si>
  <si>
    <t>water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</si>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</sst>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numFmts count="1">
    <numFmt numFmtId="164" formatCode="id:2"/>
  </numFmts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2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6" fillId="0" borderId="1" xfId="0" applyFont="1" applyBorder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"/>
  <sheetViews>
    <sheetView tabSelected="1" workbookViewId="0"/>
  </sheetViews>
  <sheetFormatPr defaultRowHeight="15"/>
  <cols>
    <col min="2" max="2" width="8.28515625" customWidth="1"/>
    <col min="3" max="3" width="7" customWidth="1"/>
    <col min="4" max="4" width="4.85546875" customWidth="1"/>
    <col min="5" max="5" width="5.7109375" customWidth="1"/>
    <col min="6" max="6" width="4.42578125" customWidth="1"/>
    <col min="7" max="7" width="4.5703125" customWidth="1"/>
    <col min="8" max="8" width="8.5703125" customWidth="1"/>
    <col min="9" max="9" width="4.5703125" customWidth="1"/>
    <col min="10" max="10" width="6.42578125" customWidth="1"/>
    <col min="12" max="12" width="7.85546875" customWidth="1"/>
    <col min="13" max="13" width="6.5703125" customWidth="1"/>
    <col min="19" max="19" width="9.42578125" customWidth="1"/>
  </cols>
  <sheetData>
    <row r="1" spans="1: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1"/>
      <c r="AE1" s="1"/>
      <c r="AF1" s="1"/>
      <c r="AG1" s="1"/>
      <c r="AH1" s="1"/>
      <c r="AI1" s="1"/>
    </row>
    <row r="2" spans="1: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  <c r="AA2" s="3"/>
      <c r="AB2" s="3"/>
      <c r="AC2" s="3"/>
      <c r="AD2" s="1"/>
      <c r="AE2" s="1"/>
      <c r="AF2" s="1"/>
      <c r="AG2" s="1"/>
      <c r="AH2" s="1"/>
      <c r="AI2" s="1"/>
    </row>
    <row r="3" spans="1:35">
      <c r="A3" s="1"/>
      <c r="B3" s="1"/>
      <c r="C3" s="1"/>
      <c r="D3" s="4" t="s">
        <v>0</v>
      </c>
      <c r="E3" s="1"/>
      <c r="F3" s="1"/>
      <c r="G3" s="4" t="s">
        <v>1</v>
      </c>
      <c r="H3" s="1"/>
      <c r="I3" s="1"/>
      <c r="J3" s="1"/>
      <c r="K3" s="1"/>
      <c r="L3" s="1"/>
      <c r="M3" s="1"/>
      <c r="N3" s="1"/>
      <c r="O3" s="4" t="s">
        <v>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1"/>
      <c r="B4" s="1"/>
      <c r="C4" s="1"/>
      <c r="D4" s="5" t="s">
        <v>3</v>
      </c>
      <c r="E4" s="6">
        <v>2</v>
      </c>
      <c r="F4" s="1"/>
      <c r="G4" s="1"/>
      <c r="H4" s="1"/>
      <c r="I4" s="1"/>
      <c r="J4" s="1"/>
      <c r="K4" s="1"/>
      <c r="L4" s="1"/>
      <c r="M4" s="1"/>
      <c r="N4" s="1"/>
      <c r="O4" s="5" t="s">
        <v>4</v>
      </c>
      <c r="P4" s="6">
        <v>0.45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1"/>
      <c r="B5" s="4" t="s">
        <v>5</v>
      </c>
      <c r="C5" s="1"/>
      <c r="D5" s="1"/>
      <c r="E5" s="1"/>
      <c r="F5" s="1"/>
      <c r="G5" s="1"/>
      <c r="H5" s="1"/>
      <c r="I5" s="4"/>
      <c r="J5" s="1"/>
      <c r="K5" s="1"/>
      <c r="L5" s="4" t="s">
        <v>6</v>
      </c>
      <c r="M5" s="4"/>
      <c r="N5" s="1"/>
      <c r="O5" s="1"/>
      <c r="P5" s="1"/>
      <c r="Q5" s="1"/>
      <c r="R5" s="1"/>
      <c r="S5" s="4" t="s">
        <v>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1"/>
      <c r="B6" s="4" t="s">
        <v>8</v>
      </c>
      <c r="C6" s="4" t="s">
        <v>9</v>
      </c>
      <c r="D6" s="4"/>
      <c r="E6" s="4"/>
      <c r="F6" s="4"/>
      <c r="G6" s="4"/>
      <c r="H6" s="4"/>
      <c r="I6" s="4"/>
      <c r="J6" s="4" t="s">
        <v>10</v>
      </c>
      <c r="K6" s="1"/>
      <c r="L6" s="4" t="s">
        <v>8</v>
      </c>
      <c r="M6" s="4" t="s">
        <v>10</v>
      </c>
      <c r="N6" s="1"/>
      <c r="O6" s="4" t="s">
        <v>11</v>
      </c>
      <c r="P6" s="1"/>
      <c r="Q6" s="1"/>
      <c r="R6" s="1"/>
      <c r="S6" s="4" t="s">
        <v>12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1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4" t="s">
        <v>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1"/>
      <c r="B8" s="5" t="s">
        <v>14</v>
      </c>
      <c r="C8" s="5" t="s">
        <v>15</v>
      </c>
      <c r="D8" s="5" t="s">
        <v>16</v>
      </c>
      <c r="E8" s="5"/>
      <c r="F8" s="5"/>
      <c r="G8" s="5" t="s">
        <v>17</v>
      </c>
      <c r="H8" s="1"/>
      <c r="I8" s="5" t="s">
        <v>18</v>
      </c>
      <c r="J8" s="5" t="s">
        <v>19</v>
      </c>
      <c r="K8" s="1"/>
      <c r="L8" s="5"/>
      <c r="M8" s="5" t="s">
        <v>19</v>
      </c>
      <c r="N8" s="1"/>
      <c r="O8" s="1" t="s">
        <v>20</v>
      </c>
      <c r="P8" s="5" t="s">
        <v>21</v>
      </c>
      <c r="Q8" s="1" t="s">
        <v>22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1"/>
      <c r="B9" s="8" t="s">
        <v>23</v>
      </c>
      <c r="C9" s="9">
        <v>2.5</v>
      </c>
      <c r="D9" s="1"/>
      <c r="E9" s="9" cm="1">
        <f t="array" ref="E9">_xlfn.LET(_xlpm.T, E4, _xlpm.Z, C9:C13, _xlpm.Z/_xlpm.T)</f>
        <v>0</v>
      </c>
      <c r="F9" s="9"/>
      <c r="G9" s="9"/>
      <c r="H9" s="9" cm="1">
        <f t="array" ref="H9">EXP(_xlfn.ANCHORARRAY(E9))</f>
        <v>0</v>
      </c>
      <c r="I9" s="9"/>
      <c r="J9" s="9" cm="1">
        <f t="array" ref="J9">ROUND(_xlfn.ANCHORARRAY(H9)/SUM(_xlfn.ANCHORARRAY(H9)),2)</f>
        <v>0</v>
      </c>
      <c r="K9" s="1"/>
      <c r="L9" s="8" cm="1">
        <f t="array" ref="L9">_xlfn._xlws.SORT(_xlfn.HSTACK(B9:B13,_xlfn.ANCHORARRAY(J9)),2,-1)</f>
        <v>0</v>
      </c>
      <c r="M9" s="9">
        <v>0.51</v>
      </c>
      <c r="N9" s="1"/>
      <c r="O9" s="9">
        <v>0</v>
      </c>
      <c r="P9" s="9" cm="1">
        <f t="array" ref="P9">_xlfn.LET(_xlpm.r,P4,_xlpm.as,O9:O13, _xlpm.bs, Q9:Q13, _xlfn.MAP(_xlpm.as,_xlpm.bs,_xlfn.LAMBDA(_xlpm.a,_xlpm.b,IF(AND(_xlpm.r&gt;=_xlpm.a,_xlpm.r&lt;_xlpm.b),_xlpm.r,""))))</f>
        <v>0</v>
      </c>
      <c r="Q9" s="9">
        <f>O10:O13</f>
        <v>0</v>
      </c>
      <c r="R9" s="1"/>
      <c r="S9" s="8" cm="1">
        <f t="array" ref="S9">_xlfn.MAP(L9:L13,_xlfn.ANCHORARRAY(P9),_xlfn.LAMBDA(_xlpm.v,_xlpm.r,IF(ISNUMBER(_xlpm.r),_xlpm.v,"")))</f>
        <v>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1"/>
      <c r="B10" s="8" t="s">
        <v>24</v>
      </c>
      <c r="C10" s="9">
        <v>1</v>
      </c>
      <c r="D10" s="1"/>
      <c r="E10" s="9">
        <v>0.5</v>
      </c>
      <c r="F10" s="9"/>
      <c r="G10" s="9"/>
      <c r="H10" s="9">
        <v>1.6487212707001282</v>
      </c>
      <c r="I10" s="9"/>
      <c r="J10" s="9">
        <v>0.06</v>
      </c>
      <c r="K10" s="1"/>
      <c r="L10" s="8" t="s">
        <v>25</v>
      </c>
      <c r="M10" s="9">
        <v>0.18</v>
      </c>
      <c r="N10" s="1"/>
      <c r="O10" s="9">
        <f>O9+M9</f>
        <v>0</v>
      </c>
      <c r="P10" s="1"/>
      <c r="Q10" s="9">
        <v>0.69</v>
      </c>
      <c r="R10" s="1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1"/>
      <c r="B11" s="8" t="s">
        <v>26</v>
      </c>
      <c r="C11" s="9">
        <v>5.2</v>
      </c>
      <c r="D11" s="1"/>
      <c r="E11" s="9">
        <v>2.6</v>
      </c>
      <c r="F11" s="9"/>
      <c r="G11" s="9"/>
      <c r="H11" s="9">
        <v>13.463738035001692</v>
      </c>
      <c r="I11" s="9"/>
      <c r="J11" s="9">
        <v>0.51</v>
      </c>
      <c r="K11" s="1"/>
      <c r="L11" s="8" t="s">
        <v>23</v>
      </c>
      <c r="M11" s="9">
        <v>0.13</v>
      </c>
      <c r="N11" s="1"/>
      <c r="O11" s="9"/>
      <c r="P11" s="1"/>
      <c r="Q11" s="9">
        <v>0.82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0"/>
      <c r="AI11" s="1"/>
    </row>
    <row r="12" spans="1:35">
      <c r="A12" s="1"/>
      <c r="B12" s="8" t="s">
        <v>25</v>
      </c>
      <c r="C12" s="9">
        <v>3.1</v>
      </c>
      <c r="D12" s="1"/>
      <c r="E12" s="9">
        <v>1.55</v>
      </c>
      <c r="F12" s="9"/>
      <c r="G12" s="9"/>
      <c r="H12" s="9">
        <v>4.711470182590742</v>
      </c>
      <c r="I12" s="9"/>
      <c r="J12" s="9">
        <v>0.18</v>
      </c>
      <c r="K12" s="1"/>
      <c r="L12" s="8" t="s">
        <v>27</v>
      </c>
      <c r="M12" s="9">
        <v>0.11</v>
      </c>
      <c r="N12" s="1"/>
      <c r="O12" s="9"/>
      <c r="P12" s="1"/>
      <c r="Q12" s="9">
        <v>0.9299999999999999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0"/>
      <c r="AI12" s="1"/>
    </row>
    <row r="13" spans="1:35">
      <c r="A13" s="1"/>
      <c r="B13" s="8" t="s">
        <v>27</v>
      </c>
      <c r="C13" s="9">
        <v>2.15</v>
      </c>
      <c r="D13" s="1"/>
      <c r="E13" s="9">
        <v>1.075</v>
      </c>
      <c r="F13" s="9"/>
      <c r="G13" s="9"/>
      <c r="H13" s="9">
        <v>2.9299929005337013</v>
      </c>
      <c r="I13" s="9"/>
      <c r="J13" s="9">
        <v>0.11</v>
      </c>
      <c r="K13" s="1"/>
      <c r="L13" s="8" t="s">
        <v>24</v>
      </c>
      <c r="M13" s="9">
        <v>0.06</v>
      </c>
      <c r="N13" s="1"/>
      <c r="O13" s="9"/>
      <c r="P13" s="1"/>
      <c r="Q13" s="9">
        <v>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0"/>
      <c r="AI13" s="1"/>
    </row>
    <row r="14" spans="1: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3"/>
  <sheetViews>
    <sheetView workbookViewId="0"/>
  </sheetViews>
  <sheetFormatPr defaultRowHeight="15"/>
  <cols>
    <col min="2" max="2" width="8.28515625" customWidth="1"/>
    <col min="3" max="3" width="7" customWidth="1"/>
    <col min="4" max="4" width="4.85546875" customWidth="1"/>
    <col min="5" max="5" width="5.7109375" customWidth="1"/>
    <col min="6" max="6" width="4.42578125" customWidth="1"/>
    <col min="7" max="7" width="4.5703125" customWidth="1"/>
    <col min="8" max="8" width="8.5703125" customWidth="1"/>
    <col min="9" max="9" width="4.5703125" customWidth="1"/>
    <col min="10" max="10" width="6.42578125" customWidth="1"/>
    <col min="12" max="12" width="7.85546875" customWidth="1"/>
    <col min="13" max="13" width="6.5703125" customWidth="1"/>
    <col min="19" max="19" width="9.42578125" customWidth="1"/>
  </cols>
  <sheetData>
    <row r="1" spans="1: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1"/>
      <c r="AE1" s="1"/>
      <c r="AF1" s="1"/>
      <c r="AG1" s="1"/>
      <c r="AH1" s="1"/>
      <c r="AI1" s="1"/>
    </row>
    <row r="2" spans="1: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  <c r="AA2" s="3"/>
      <c r="AB2" s="3"/>
      <c r="AC2" s="3"/>
      <c r="AD2" s="1"/>
      <c r="AE2" s="1"/>
      <c r="AF2" s="1"/>
      <c r="AG2" s="1"/>
      <c r="AH2" s="1"/>
      <c r="AI2" s="1"/>
    </row>
    <row r="3" spans="1:35">
      <c r="A3" s="1"/>
      <c r="B3" s="1"/>
      <c r="C3" s="1"/>
      <c r="D3" s="4" t="s">
        <v>0</v>
      </c>
      <c r="E3" s="1"/>
      <c r="F3" s="1"/>
      <c r="G3" s="4" t="s">
        <v>1</v>
      </c>
      <c r="H3" s="1"/>
      <c r="I3" s="1"/>
      <c r="J3" s="1"/>
      <c r="K3" s="1"/>
      <c r="L3" s="1"/>
      <c r="M3" s="1"/>
      <c r="N3" s="1"/>
      <c r="O3" s="4" t="s">
        <v>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1"/>
      <c r="B4" s="1"/>
      <c r="C4" s="1"/>
      <c r="D4" s="5" t="s">
        <v>3</v>
      </c>
      <c r="E4" s="6">
        <v>1.5</v>
      </c>
      <c r="F4" s="1"/>
      <c r="G4" s="1"/>
      <c r="H4" s="1"/>
      <c r="I4" s="1"/>
      <c r="J4" s="1"/>
      <c r="K4" s="1"/>
      <c r="L4" s="1"/>
      <c r="M4" s="1"/>
      <c r="N4" s="1"/>
      <c r="O4" s="5" t="s">
        <v>4</v>
      </c>
      <c r="P4" s="6">
        <v>0.45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1"/>
      <c r="B5" s="4" t="s">
        <v>5</v>
      </c>
      <c r="C5" s="1"/>
      <c r="D5" s="1"/>
      <c r="E5" s="1"/>
      <c r="F5" s="1"/>
      <c r="G5" s="1"/>
      <c r="H5" s="1"/>
      <c r="I5" s="4"/>
      <c r="J5" s="1"/>
      <c r="K5" s="1"/>
      <c r="L5" s="4" t="s">
        <v>6</v>
      </c>
      <c r="M5" s="4"/>
      <c r="N5" s="1"/>
      <c r="O5" s="1"/>
      <c r="P5" s="1"/>
      <c r="Q5" s="1"/>
      <c r="R5" s="1"/>
      <c r="S5" s="4" t="s">
        <v>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1"/>
      <c r="B6" s="4" t="s">
        <v>8</v>
      </c>
      <c r="C6" s="4" t="s">
        <v>9</v>
      </c>
      <c r="D6" s="4"/>
      <c r="E6" s="4"/>
      <c r="F6" s="4"/>
      <c r="G6" s="4"/>
      <c r="H6" s="4"/>
      <c r="I6" s="4"/>
      <c r="J6" s="4" t="s">
        <v>10</v>
      </c>
      <c r="K6" s="1"/>
      <c r="L6" s="4" t="s">
        <v>8</v>
      </c>
      <c r="M6" s="4" t="s">
        <v>10</v>
      </c>
      <c r="N6" s="1"/>
      <c r="O6" s="4" t="s">
        <v>11</v>
      </c>
      <c r="P6" s="1"/>
      <c r="Q6" s="1"/>
      <c r="R6" s="1"/>
      <c r="S6" s="4" t="s">
        <v>12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1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4" t="s">
        <v>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1"/>
      <c r="B8" s="5" t="s">
        <v>14</v>
      </c>
      <c r="C8" s="5" t="s">
        <v>15</v>
      </c>
      <c r="D8" s="5" t="s">
        <v>16</v>
      </c>
      <c r="E8" s="5"/>
      <c r="F8" s="5"/>
      <c r="G8" s="5" t="s">
        <v>17</v>
      </c>
      <c r="H8" s="1"/>
      <c r="I8" s="5" t="s">
        <v>18</v>
      </c>
      <c r="J8" s="5" t="s">
        <v>19</v>
      </c>
      <c r="K8" s="1"/>
      <c r="L8" s="5"/>
      <c r="M8" s="5" t="s">
        <v>19</v>
      </c>
      <c r="N8" s="1"/>
      <c r="O8" s="1" t="s">
        <v>20</v>
      </c>
      <c r="P8" s="5" t="s">
        <v>21</v>
      </c>
      <c r="Q8" s="1" t="s">
        <v>22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1"/>
      <c r="B9" s="8" t="s">
        <v>28</v>
      </c>
      <c r="C9" s="9">
        <v>-4.01</v>
      </c>
      <c r="D9" s="1"/>
      <c r="E9" s="9" cm="1">
        <f t="array" ref="E9">_xlfn.LET(_xlpm.T, E4, _xlpm.Z, C9:C32, _xlpm.Z/_xlpm.T)</f>
        <v>0</v>
      </c>
      <c r="F9" s="9"/>
      <c r="G9" s="9"/>
      <c r="H9" s="9" cm="1">
        <f t="array" ref="H9">EXP(_xlfn.ANCHORARRAY(E9))</f>
        <v>0</v>
      </c>
      <c r="I9" s="9"/>
      <c r="J9" s="9" cm="1">
        <f t="array" ref="J9">ROUND(_xlfn.ANCHORARRAY(H9)/SUM(_xlfn.ANCHORARRAY(H9)),2)</f>
        <v>0</v>
      </c>
      <c r="K9" s="1"/>
      <c r="L9" s="8" cm="1">
        <f t="array" ref="L9">_xlfn._xlws.SORT(_xlfn.HSTACK(B9:B32,_xlfn.ANCHORARRAY(J9)),2,-1)</f>
        <v>0</v>
      </c>
      <c r="M9" s="9">
        <v>0.3</v>
      </c>
      <c r="N9" s="1"/>
      <c r="O9" s="9">
        <v>0</v>
      </c>
      <c r="P9" s="9" cm="1">
        <f t="array" ref="P9">_xlfn.LET(_xlpm.r,P4,_xlpm.as,O9:O32, _xlpm.bs, Q9:Q32, _xlfn.MAP(_xlpm.as,_xlpm.bs,_xlfn.LAMBDA(_xlpm.a,_xlpm.b,IF(AND(_xlpm.r&gt;=_xlpm.a,_xlpm.r&lt;_xlpm.b),_xlpm.r,""))))</f>
        <v>0</v>
      </c>
      <c r="Q9" s="9">
        <f>O10:O32</f>
        <v>0</v>
      </c>
      <c r="R9" s="1"/>
      <c r="S9" s="8" cm="1">
        <f t="array" ref="S9">_xlfn.MAP(L9:L32,_xlfn.ANCHORARRAY(P9),_xlfn.LAMBDA(_xlpm.v,_xlpm.r,IF(ISNUMBER(_xlpm.r),_xlpm.v,"")))</f>
        <v>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1"/>
      <c r="B10" s="8" t="s">
        <v>29</v>
      </c>
      <c r="C10" s="9">
        <v>4.803493634778748</v>
      </c>
      <c r="D10" s="1"/>
      <c r="E10" s="9">
        <v>3.202329089852499</v>
      </c>
      <c r="F10" s="9"/>
      <c r="G10" s="9"/>
      <c r="H10" s="9">
        <v>24.58973525624911</v>
      </c>
      <c r="I10" s="9"/>
      <c r="J10" s="9">
        <v>0.05</v>
      </c>
      <c r="K10" s="1"/>
      <c r="L10" s="8" t="s">
        <v>30</v>
      </c>
      <c r="M10" s="9">
        <v>0.25</v>
      </c>
      <c r="N10" s="1"/>
      <c r="O10" s="9">
        <f>O9+M9</f>
        <v>0</v>
      </c>
      <c r="P10" s="9">
        <v>0.45</v>
      </c>
      <c r="Q10" s="9">
        <v>0.55</v>
      </c>
      <c r="R10" s="10"/>
      <c r="S10" s="8" t="s">
        <v>30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1"/>
      <c r="B11" s="8" t="s">
        <v>31</v>
      </c>
      <c r="C11" s="9">
        <v>2.7282305693485625</v>
      </c>
      <c r="D11" s="1"/>
      <c r="E11" s="9">
        <v>1.8188203795657083</v>
      </c>
      <c r="F11" s="9"/>
      <c r="G11" s="9"/>
      <c r="H11" s="9">
        <v>6.164582291934548</v>
      </c>
      <c r="I11" s="9"/>
      <c r="J11" s="9">
        <v>0.01</v>
      </c>
      <c r="K11" s="1"/>
      <c r="L11" s="8" t="s">
        <v>32</v>
      </c>
      <c r="M11" s="9">
        <v>0.15</v>
      </c>
      <c r="N11" s="1"/>
      <c r="O11" s="9"/>
      <c r="P11" s="1"/>
      <c r="Q11" s="9">
        <v>0.7000000000000001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0"/>
      <c r="AI11" s="1"/>
    </row>
    <row r="12" spans="1:35">
      <c r="A12" s="1"/>
      <c r="B12" s="8" t="s">
        <v>32</v>
      </c>
      <c r="C12" s="9">
        <v>6.492933540095455</v>
      </c>
      <c r="D12" s="1"/>
      <c r="E12" s="9">
        <v>4.328622360063637</v>
      </c>
      <c r="F12" s="9"/>
      <c r="G12" s="9"/>
      <c r="H12" s="9">
        <v>75.83973472100742</v>
      </c>
      <c r="I12" s="9"/>
      <c r="J12" s="9">
        <v>0.15</v>
      </c>
      <c r="K12" s="1"/>
      <c r="L12" s="8" t="s">
        <v>33</v>
      </c>
      <c r="M12" s="9">
        <v>0.07</v>
      </c>
      <c r="N12" s="1"/>
      <c r="O12" s="9"/>
      <c r="P12" s="1"/>
      <c r="Q12" s="9">
        <v>0.77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0"/>
      <c r="AI12" s="1"/>
    </row>
    <row r="13" spans="1:35">
      <c r="A13" s="1"/>
      <c r="B13" s="8" t="s">
        <v>30</v>
      </c>
      <c r="C13" s="9">
        <v>7.291994083054762</v>
      </c>
      <c r="D13" s="1"/>
      <c r="E13" s="9">
        <v>4.861329388703175</v>
      </c>
      <c r="F13" s="9"/>
      <c r="G13" s="9"/>
      <c r="H13" s="9">
        <v>129.19583948521398</v>
      </c>
      <c r="I13" s="9"/>
      <c r="J13" s="9">
        <v>0.25</v>
      </c>
      <c r="K13" s="1"/>
      <c r="L13" s="8" t="s">
        <v>29</v>
      </c>
      <c r="M13" s="9">
        <v>0.05</v>
      </c>
      <c r="N13" s="1"/>
      <c r="O13" s="9"/>
      <c r="P13" s="1"/>
      <c r="Q13" s="9">
        <v>0.8200000000000001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0"/>
      <c r="AI13" s="1"/>
    </row>
    <row r="14" spans="1:35">
      <c r="A14" s="1"/>
      <c r="B14" s="8" t="s">
        <v>34</v>
      </c>
      <c r="C14" s="9">
        <v>2.28745472892307</v>
      </c>
      <c r="D14" s="1"/>
      <c r="E14" s="9">
        <v>1.5249698192820464</v>
      </c>
      <c r="F14" s="9"/>
      <c r="G14" s="9"/>
      <c r="H14" s="9">
        <v>4.595004886667448</v>
      </c>
      <c r="I14" s="9"/>
      <c r="J14" s="9">
        <v>0.01</v>
      </c>
      <c r="K14" s="1"/>
      <c r="L14" s="8" t="s">
        <v>35</v>
      </c>
      <c r="M14" s="9">
        <v>0.05</v>
      </c>
      <c r="N14" s="1"/>
      <c r="O14" s="9"/>
      <c r="P14" s="1"/>
      <c r="Q14" s="9">
        <v>0.8700000000000001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0"/>
      <c r="AI14" s="1"/>
    </row>
    <row r="15" spans="1:35">
      <c r="A15" s="1"/>
      <c r="B15" s="8" t="s">
        <v>36</v>
      </c>
      <c r="C15" s="9">
        <v>-1.3768316507078842</v>
      </c>
      <c r="D15" s="1"/>
      <c r="E15" s="9">
        <v>-0.9178877671385894</v>
      </c>
      <c r="F15" s="9"/>
      <c r="G15" s="9"/>
      <c r="H15" s="9">
        <v>0.3993616957271103</v>
      </c>
      <c r="I15" s="9"/>
      <c r="J15" s="9">
        <v>0</v>
      </c>
      <c r="K15" s="1"/>
      <c r="L15" s="8" t="s">
        <v>37</v>
      </c>
      <c r="M15" s="9">
        <v>0.03</v>
      </c>
      <c r="N15" s="1"/>
      <c r="O15" s="9"/>
      <c r="P15" s="1"/>
      <c r="Q15" s="9">
        <v>0.9000000000000001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0"/>
      <c r="AI15" s="1"/>
    </row>
    <row r="16" spans="1:35">
      <c r="A16" s="1"/>
      <c r="B16" s="8" t="s">
        <v>38</v>
      </c>
      <c r="C16" s="9">
        <v>-5.264980940002106</v>
      </c>
      <c r="D16" s="1"/>
      <c r="E16" s="9">
        <v>-3.509987293334737</v>
      </c>
      <c r="F16" s="9"/>
      <c r="G16" s="9"/>
      <c r="H16" s="9">
        <v>0.029897294329424035</v>
      </c>
      <c r="I16" s="9"/>
      <c r="J16" s="9">
        <v>0</v>
      </c>
      <c r="K16" s="1"/>
      <c r="L16" s="8" t="s">
        <v>39</v>
      </c>
      <c r="M16" s="9">
        <v>0.03</v>
      </c>
      <c r="N16" s="1"/>
      <c r="O16" s="9"/>
      <c r="P16" s="1"/>
      <c r="Q16" s="9">
        <v>0.9300000000000002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0"/>
      <c r="AI16" s="1"/>
    </row>
    <row r="17" spans="1:35">
      <c r="A17" s="1"/>
      <c r="B17" s="8" t="s">
        <v>40</v>
      </c>
      <c r="C17" s="9">
        <v>-5.512604099756017</v>
      </c>
      <c r="D17" s="1"/>
      <c r="E17" s="9">
        <v>-3.6750693998373447</v>
      </c>
      <c r="F17" s="9"/>
      <c r="G17" s="9"/>
      <c r="H17" s="9">
        <v>0.02534764633914911</v>
      </c>
      <c r="I17" s="9"/>
      <c r="J17" s="9">
        <v>0</v>
      </c>
      <c r="K17" s="1"/>
      <c r="L17" s="8" t="s">
        <v>41</v>
      </c>
      <c r="M17" s="9">
        <v>0.02</v>
      </c>
      <c r="N17" s="1"/>
      <c r="O17" s="9"/>
      <c r="P17" s="1"/>
      <c r="Q17" s="9">
        <v>0.9500000000000002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0"/>
      <c r="AI17" s="1"/>
    </row>
    <row r="18" spans="1:35">
      <c r="A18" s="1"/>
      <c r="B18" s="8" t="s">
        <v>37</v>
      </c>
      <c r="C18" s="9">
        <v>4.024868372200345</v>
      </c>
      <c r="D18" s="1"/>
      <c r="E18" s="9">
        <v>2.6832455814668967</v>
      </c>
      <c r="F18" s="9"/>
      <c r="G18" s="9"/>
      <c r="H18" s="9">
        <v>14.632507305769947</v>
      </c>
      <c r="I18" s="9"/>
      <c r="J18" s="9">
        <v>0.03</v>
      </c>
      <c r="K18" s="1"/>
      <c r="L18" s="8" t="s">
        <v>31</v>
      </c>
      <c r="M18" s="9">
        <v>0.01</v>
      </c>
      <c r="N18" s="1"/>
      <c r="O18" s="9"/>
      <c r="P18" s="1"/>
      <c r="Q18" s="9">
        <v>0.9600000000000002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0"/>
      <c r="AI18" s="1"/>
    </row>
    <row r="19" spans="1:35">
      <c r="A19" s="1"/>
      <c r="B19" s="8" t="s">
        <v>42</v>
      </c>
      <c r="C19" s="9">
        <v>2.8526503908261462</v>
      </c>
      <c r="D19" s="1"/>
      <c r="E19" s="9">
        <v>1.901766927217431</v>
      </c>
      <c r="F19" s="9"/>
      <c r="G19" s="9"/>
      <c r="H19" s="9">
        <v>6.697718374079436</v>
      </c>
      <c r="I19" s="9"/>
      <c r="J19" s="9">
        <v>0.01</v>
      </c>
      <c r="K19" s="1"/>
      <c r="L19" s="8" t="s">
        <v>34</v>
      </c>
      <c r="M19" s="9">
        <v>0.01</v>
      </c>
      <c r="N19" s="1"/>
      <c r="O19" s="9"/>
      <c r="P19" s="1"/>
      <c r="Q19" s="9">
        <v>0.9700000000000002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0"/>
      <c r="AI19" s="1"/>
    </row>
    <row r="20" spans="1:35">
      <c r="A20" s="1"/>
      <c r="B20" s="8" t="s">
        <v>43</v>
      </c>
      <c r="C20" s="9">
        <v>-0.013158253428192879</v>
      </c>
      <c r="D20" s="1"/>
      <c r="E20" s="9">
        <v>-0.008772168952128586</v>
      </c>
      <c r="F20" s="9"/>
      <c r="G20" s="9"/>
      <c r="H20" s="9">
        <v>0.9912661942637755</v>
      </c>
      <c r="I20" s="9"/>
      <c r="J20" s="9">
        <v>0</v>
      </c>
      <c r="K20" s="1"/>
      <c r="L20" s="8" t="s">
        <v>42</v>
      </c>
      <c r="M20" s="9">
        <v>0.01</v>
      </c>
      <c r="N20" s="1"/>
      <c r="O20" s="9"/>
      <c r="P20" s="1"/>
      <c r="Q20" s="9">
        <v>0.9800000000000002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0"/>
      <c r="AI20" s="1"/>
    </row>
    <row r="21" spans="1:35">
      <c r="A21" s="1"/>
      <c r="B21" s="8" t="s">
        <v>44</v>
      </c>
      <c r="C21" s="9">
        <v>1.1340947448188796</v>
      </c>
      <c r="D21" s="1"/>
      <c r="E21" s="9">
        <v>0.7560631632125864</v>
      </c>
      <c r="F21" s="9"/>
      <c r="G21" s="9"/>
      <c r="H21" s="9">
        <v>2.1298747245205374</v>
      </c>
      <c r="I21" s="9"/>
      <c r="J21" s="9">
        <v>0</v>
      </c>
      <c r="K21" s="1"/>
      <c r="L21" s="8" t="s">
        <v>28</v>
      </c>
      <c r="M21" s="9">
        <v>0</v>
      </c>
      <c r="N21" s="1"/>
      <c r="O21" s="9"/>
      <c r="P21" s="1"/>
      <c r="Q21" s="9">
        <v>0.9800000000000002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0"/>
      <c r="AI21" s="1"/>
    </row>
    <row r="22" spans="1:35">
      <c r="A22" s="1"/>
      <c r="B22" s="8" t="s">
        <v>45</v>
      </c>
      <c r="C22" s="9">
        <v>0.7404077547437709</v>
      </c>
      <c r="D22" s="1"/>
      <c r="E22" s="9">
        <v>0.49360516982918057</v>
      </c>
      <c r="F22" s="9"/>
      <c r="G22" s="9"/>
      <c r="H22" s="9">
        <v>1.6382116177129793</v>
      </c>
      <c r="I22" s="9"/>
      <c r="J22" s="9">
        <v>0</v>
      </c>
      <c r="K22" s="1"/>
      <c r="L22" s="8" t="s">
        <v>36</v>
      </c>
      <c r="M22" s="9">
        <v>0</v>
      </c>
      <c r="N22" s="1"/>
      <c r="O22" s="9"/>
      <c r="P22" s="1"/>
      <c r="Q22" s="9">
        <v>0.9800000000000002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0"/>
      <c r="AI22" s="1"/>
    </row>
    <row r="23" spans="1:35">
      <c r="A23" s="1"/>
      <c r="B23" s="8" t="s">
        <v>46</v>
      </c>
      <c r="C23" s="9">
        <v>1.3432208992119925</v>
      </c>
      <c r="D23" s="1"/>
      <c r="E23" s="9">
        <v>0.8954805994746616</v>
      </c>
      <c r="F23" s="9"/>
      <c r="G23" s="9"/>
      <c r="H23" s="9">
        <v>2.4485122604400695</v>
      </c>
      <c r="I23" s="9"/>
      <c r="J23" s="9">
        <v>0</v>
      </c>
      <c r="K23" s="1"/>
      <c r="L23" s="8" t="s">
        <v>38</v>
      </c>
      <c r="M23" s="9">
        <v>0</v>
      </c>
      <c r="N23" s="1"/>
      <c r="O23" s="9"/>
      <c r="P23" s="1"/>
      <c r="Q23" s="9">
        <v>0.9800000000000002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0"/>
      <c r="AI23" s="1"/>
    </row>
    <row r="24" spans="1:35">
      <c r="A24" s="1"/>
      <c r="B24" s="8" t="s">
        <v>33</v>
      </c>
      <c r="C24" s="9">
        <v>5.302671051428158</v>
      </c>
      <c r="D24" s="1"/>
      <c r="E24" s="9">
        <v>3.5351140342854386</v>
      </c>
      <c r="F24" s="9"/>
      <c r="G24" s="9"/>
      <c r="H24" s="9">
        <v>34.29892574471744</v>
      </c>
      <c r="I24" s="9"/>
      <c r="J24" s="9">
        <v>0.07</v>
      </c>
      <c r="K24" s="1"/>
      <c r="L24" s="8" t="s">
        <v>40</v>
      </c>
      <c r="M24" s="9">
        <v>0</v>
      </c>
      <c r="N24" s="1"/>
      <c r="O24" s="9">
        <f>O23+M23</f>
        <v>0</v>
      </c>
      <c r="P24" s="1"/>
      <c r="Q24" s="9">
        <v>0.9800000000000002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0"/>
      <c r="AI24" s="1"/>
    </row>
    <row r="25" spans="1:35">
      <c r="A25" s="1"/>
      <c r="B25" s="8" t="s">
        <v>47</v>
      </c>
      <c r="C25" s="9">
        <v>-3.0759076192606845</v>
      </c>
      <c r="D25" s="1"/>
      <c r="E25" s="9">
        <v>-2.050605079507123</v>
      </c>
      <c r="F25" s="9"/>
      <c r="G25" s="9"/>
      <c r="H25" s="9">
        <v>0.12865703229732867</v>
      </c>
      <c r="I25" s="9"/>
      <c r="J25" s="9">
        <v>0</v>
      </c>
      <c r="K25" s="1"/>
      <c r="L25" s="8" t="s">
        <v>43</v>
      </c>
      <c r="M25" s="9">
        <v>0</v>
      </c>
      <c r="N25" s="1"/>
      <c r="O25" s="9"/>
      <c r="P25" s="1"/>
      <c r="Q25" s="9">
        <v>0.9800000000000002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0"/>
      <c r="AI25" s="1"/>
    </row>
    <row r="26" spans="1:35">
      <c r="A26" s="1"/>
      <c r="B26" s="8" t="s">
        <v>48</v>
      </c>
      <c r="C26" s="9">
        <v>0.0495064925104538</v>
      </c>
      <c r="D26" s="1"/>
      <c r="E26" s="9">
        <v>0.033004328340302536</v>
      </c>
      <c r="F26" s="9"/>
      <c r="G26" s="9"/>
      <c r="H26" s="9">
        <v>1.0335550128094408</v>
      </c>
      <c r="I26" s="9"/>
      <c r="J26" s="9">
        <v>0</v>
      </c>
      <c r="K26" s="1"/>
      <c r="L26" s="8" t="s">
        <v>44</v>
      </c>
      <c r="M26" s="9">
        <v>0</v>
      </c>
      <c r="N26" s="1"/>
      <c r="O26" s="9"/>
      <c r="P26" s="1"/>
      <c r="Q26" s="9">
        <v>0.9800000000000002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0"/>
      <c r="AI26" s="1"/>
    </row>
    <row r="27" spans="1:35">
      <c r="A27" s="1"/>
      <c r="B27" s="8" t="s">
        <v>39</v>
      </c>
      <c r="C27" s="9">
        <v>4.146488277526732</v>
      </c>
      <c r="D27" s="1"/>
      <c r="E27" s="9">
        <v>2.764325518351155</v>
      </c>
      <c r="F27" s="9"/>
      <c r="G27" s="9"/>
      <c r="H27" s="9">
        <v>15.868333480617013</v>
      </c>
      <c r="I27" s="9"/>
      <c r="J27" s="9">
        <v>0.03</v>
      </c>
      <c r="K27" s="1"/>
      <c r="L27" s="8" t="s">
        <v>45</v>
      </c>
      <c r="M27" s="9">
        <v>0</v>
      </c>
      <c r="N27" s="1"/>
      <c r="O27" s="9"/>
      <c r="P27" s="1"/>
      <c r="Q27" s="9">
        <v>0.9800000000000002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0"/>
      <c r="AI27" s="1"/>
    </row>
    <row r="28" spans="1:35">
      <c r="A28" s="1"/>
      <c r="B28" s="8" t="s">
        <v>49</v>
      </c>
      <c r="C28" s="9">
        <v>1.1429432136885929</v>
      </c>
      <c r="D28" s="1"/>
      <c r="E28" s="9">
        <v>0.7619621424590619</v>
      </c>
      <c r="F28" s="9"/>
      <c r="G28" s="9"/>
      <c r="H28" s="9">
        <v>2.142475941936723</v>
      </c>
      <c r="I28" s="9"/>
      <c r="J28" s="9">
        <v>0</v>
      </c>
      <c r="K28" s="1"/>
      <c r="L28" s="8" t="s">
        <v>46</v>
      </c>
      <c r="M28" s="9">
        <v>0</v>
      </c>
      <c r="N28" s="1"/>
      <c r="O28" s="9"/>
      <c r="P28" s="1"/>
      <c r="Q28" s="9">
        <v>0.9800000000000002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0"/>
      <c r="AI28" s="1"/>
    </row>
    <row r="29" spans="1:35">
      <c r="A29" s="1"/>
      <c r="B29" s="8" t="s">
        <v>50</v>
      </c>
      <c r="C29" s="9">
        <v>7.56</v>
      </c>
      <c r="D29" s="1"/>
      <c r="E29" s="9">
        <v>5.04</v>
      </c>
      <c r="F29" s="9"/>
      <c r="G29" s="9"/>
      <c r="H29" s="9">
        <v>154.47001502589086</v>
      </c>
      <c r="I29" s="9"/>
      <c r="J29" s="9">
        <v>0.3</v>
      </c>
      <c r="K29" s="1"/>
      <c r="L29" s="8" t="s">
        <v>47</v>
      </c>
      <c r="M29" s="9">
        <v>0</v>
      </c>
      <c r="N29" s="1"/>
      <c r="O29" s="9"/>
      <c r="P29" s="1"/>
      <c r="Q29" s="9">
        <v>0.9800000000000002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0"/>
      <c r="AI29" s="1"/>
    </row>
    <row r="30" spans="1:35">
      <c r="A30" s="1"/>
      <c r="B30" s="8" t="s">
        <v>35</v>
      </c>
      <c r="C30" s="9">
        <v>5.021456439746722</v>
      </c>
      <c r="D30" s="1"/>
      <c r="E30" s="9">
        <v>3.3476376264978147</v>
      </c>
      <c r="F30" s="9"/>
      <c r="G30" s="9"/>
      <c r="H30" s="9">
        <v>28.435479012624587</v>
      </c>
      <c r="I30" s="9"/>
      <c r="J30" s="9">
        <v>0.05</v>
      </c>
      <c r="K30" s="1"/>
      <c r="L30" s="8" t="s">
        <v>48</v>
      </c>
      <c r="M30" s="9">
        <v>0</v>
      </c>
      <c r="N30" s="1"/>
      <c r="O30" s="9"/>
      <c r="P30" s="1"/>
      <c r="Q30" s="9">
        <v>0.9800000000000002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0"/>
      <c r="AI30" s="1"/>
    </row>
    <row r="31" spans="1:35">
      <c r="A31" s="1"/>
      <c r="B31" s="8" t="s">
        <v>41</v>
      </c>
      <c r="C31" s="9">
        <v>3.7262092784952987</v>
      </c>
      <c r="D31" s="1"/>
      <c r="E31" s="9">
        <v>2.484139518996866</v>
      </c>
      <c r="F31" s="9"/>
      <c r="G31" s="9"/>
      <c r="H31" s="9">
        <v>11.990797960541567</v>
      </c>
      <c r="I31" s="9"/>
      <c r="J31" s="9">
        <v>0.02</v>
      </c>
      <c r="K31" s="1"/>
      <c r="L31" s="8" t="s">
        <v>49</v>
      </c>
      <c r="M31" s="9">
        <v>0</v>
      </c>
      <c r="N31" s="1"/>
      <c r="O31" s="9"/>
      <c r="P31" s="1"/>
      <c r="Q31" s="9">
        <v>0.9800000000000002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0"/>
      <c r="AI31" s="1"/>
    </row>
    <row r="32" spans="1:35">
      <c r="A32" s="1"/>
      <c r="B32" s="8" t="s">
        <v>51</v>
      </c>
      <c r="C32" s="9">
        <v>-1.7055175594689171</v>
      </c>
      <c r="D32" s="1"/>
      <c r="E32" s="9">
        <v>-1.1370117063126115</v>
      </c>
      <c r="F32" s="9"/>
      <c r="G32" s="9"/>
      <c r="H32" s="9">
        <v>0.32077616437957873</v>
      </c>
      <c r="I32" s="9"/>
      <c r="J32" s="9">
        <v>0</v>
      </c>
      <c r="K32" s="1"/>
      <c r="L32" s="8" t="s">
        <v>51</v>
      </c>
      <c r="M32" s="9">
        <v>0</v>
      </c>
      <c r="N32" s="1"/>
      <c r="O32" s="9"/>
      <c r="P32" s="1"/>
      <c r="Q32" s="9">
        <v>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0"/>
      <c r="AI32" s="1"/>
    </row>
    <row r="33" spans="1: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11" t="s">
        <v>52</v>
      </c>
    </row>
    <row r="2" spans="1:1">
      <c r="A2" s="12"/>
    </row>
    <row r="3" spans="1:1">
      <c r="A3" s="12" t="s">
        <v>53</v>
      </c>
    </row>
    <row r="4" spans="1:1">
      <c r="A4" s="12"/>
    </row>
    <row r="5" spans="1:1">
      <c r="A5" s="12" t="s">
        <v>54</v>
      </c>
    </row>
    <row r="6" spans="1:1">
      <c r="A6" s="12" t="s">
        <v>55</v>
      </c>
    </row>
    <row r="7" spans="1:1">
      <c r="A7" s="12" t="s">
        <v>56</v>
      </c>
    </row>
    <row r="8" spans="1:1">
      <c r="A8" s="12"/>
    </row>
    <row r="9" spans="1:1">
      <c r="A9" s="12" t="s">
        <v>57</v>
      </c>
    </row>
    <row r="10" spans="1:1">
      <c r="A10" s="12" t="s">
        <v>58</v>
      </c>
    </row>
    <row r="11" spans="1:1">
      <c r="A11" s="12" t="s">
        <v>59</v>
      </c>
    </row>
    <row r="12" spans="1:1">
      <c r="A12" s="12" t="s">
        <v>60</v>
      </c>
    </row>
    <row r="13" spans="1:1">
      <c r="A13" s="12" t="s">
        <v>61</v>
      </c>
    </row>
    <row r="14" spans="1:1">
      <c r="A14" s="12" t="s">
        <v>62</v>
      </c>
    </row>
    <row r="15" spans="1:1">
      <c r="A15" s="12"/>
    </row>
    <row r="16" spans="1:1">
      <c r="A16" s="12" t="s">
        <v>63</v>
      </c>
    </row>
    <row r="17" spans="1:1">
      <c r="A17" s="12" t="s">
        <v>64</v>
      </c>
    </row>
    <row r="18" spans="1:1">
      <c r="A18" s="12"/>
    </row>
    <row r="19" spans="1:1">
      <c r="A19" s="12" t="s">
        <v>65</v>
      </c>
    </row>
    <row r="20" spans="1:1">
      <c r="A20" s="12" t="s">
        <v>66</v>
      </c>
    </row>
    <row r="21" spans="1:1">
      <c r="A21" s="12" t="s">
        <v>67</v>
      </c>
    </row>
    <row r="22" spans="1:1">
      <c r="A22" s="12" t="s">
        <v>68</v>
      </c>
    </row>
    <row r="23" spans="1:1">
      <c r="A23" s="12" t="s">
        <v>69</v>
      </c>
    </row>
    <row r="24" spans="1:1">
      <c r="A24" s="12" t="s">
        <v>70</v>
      </c>
    </row>
    <row r="25" spans="1:1">
      <c r="A25" s="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medium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